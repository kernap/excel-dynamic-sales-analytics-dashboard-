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MyPC\Downloads\"/>
    </mc:Choice>
  </mc:AlternateContent>
  <xr:revisionPtr revIDLastSave="0" documentId="13_ncr:1_{EFC49B3D-7F11-45E6-A49D-2B12925AB320}" xr6:coauthVersionLast="47" xr6:coauthVersionMax="47" xr10:uidLastSave="{00000000-0000-0000-0000-000000000000}"/>
  <bookViews>
    <workbookView xWindow="-110" yWindow="-110" windowWidth="19420" windowHeight="10300" xr2:uid="{D52CA031-B612-4D2C-9EF9-1826E761896E}"/>
  </bookViews>
  <sheets>
    <sheet name="dashboard" sheetId="4" r:id="rId1"/>
    <sheet name="pivot sheet " sheetId="5" r:id="rId2"/>
    <sheet name="Data" sheetId="1" r:id="rId3"/>
  </sheets>
  <definedNames>
    <definedName name="NativeTimeline_Date">#N/A</definedName>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 i="5" l="1"/>
  <c r="B12" i="5"/>
</calcChain>
</file>

<file path=xl/sharedStrings.xml><?xml version="1.0" encoding="utf-8"?>
<sst xmlns="http://schemas.openxmlformats.org/spreadsheetml/2006/main" count="625" uniqueCount="170">
  <si>
    <t>Region</t>
  </si>
  <si>
    <t>Product</t>
  </si>
  <si>
    <t>Sales</t>
  </si>
  <si>
    <t>Profit</t>
  </si>
  <si>
    <t>Quantity</t>
  </si>
  <si>
    <t>West</t>
  </si>
  <si>
    <t>Mobile</t>
  </si>
  <si>
    <t>East</t>
  </si>
  <si>
    <t>Accessories</t>
  </si>
  <si>
    <t>South</t>
  </si>
  <si>
    <t>North</t>
  </si>
  <si>
    <t>Tablet</t>
  </si>
  <si>
    <t>Laptop</t>
  </si>
  <si>
    <t>Customer Name</t>
  </si>
  <si>
    <t>Henry MacAllister</t>
  </si>
  <si>
    <t>Mike Vittorini</t>
  </si>
  <si>
    <t>Mark Packer</t>
  </si>
  <si>
    <t>Jennifer Ferguson</t>
  </si>
  <si>
    <t>Doug Jacobs</t>
  </si>
  <si>
    <t>Christine Phan</t>
  </si>
  <si>
    <t>Sally Matthias</t>
  </si>
  <si>
    <t>Patrick O'Donnell</t>
  </si>
  <si>
    <t>Adam Hart</t>
  </si>
  <si>
    <t>Nicole Fjeld</t>
  </si>
  <si>
    <t>Frank Olsen</t>
  </si>
  <si>
    <t>Anne Pryor</t>
  </si>
  <si>
    <t>Patrick Gardner</t>
  </si>
  <si>
    <t>Todd Boyes</t>
  </si>
  <si>
    <t>Helen Abelman</t>
  </si>
  <si>
    <t>Andy Reiter</t>
  </si>
  <si>
    <t>John Lee</t>
  </si>
  <si>
    <t>Bradley Nguyen</t>
  </si>
  <si>
    <t>Ann Chong</t>
  </si>
  <si>
    <t>Dan Reichenbach</t>
  </si>
  <si>
    <t>Caroline Jumper</t>
  </si>
  <si>
    <t>Chuck Sachs</t>
  </si>
  <si>
    <t>Sarah Bern</t>
  </si>
  <si>
    <t>Amy Cox</t>
  </si>
  <si>
    <t>Jasper Cacioppo</t>
  </si>
  <si>
    <t>Christine Sundaresam</t>
  </si>
  <si>
    <t>Frank Hawley</t>
  </si>
  <si>
    <t>Grant Thornton</t>
  </si>
  <si>
    <t>Luke Weiss</t>
  </si>
  <si>
    <t>William Brown</t>
  </si>
  <si>
    <t>Harry Greene</t>
  </si>
  <si>
    <t>Craig Carroll</t>
  </si>
  <si>
    <t>Toby Swindell</t>
  </si>
  <si>
    <t>Janet Martin</t>
  </si>
  <si>
    <t>Thomas Boland</t>
  </si>
  <si>
    <t>Speros Goranitis</t>
  </si>
  <si>
    <t>Thomas Thornton</t>
  </si>
  <si>
    <t>Sally Hughsby</t>
  </si>
  <si>
    <t>Shahid Hopkins</t>
  </si>
  <si>
    <t>Sam Zeldin</t>
  </si>
  <si>
    <t>Frank Gastineau</t>
  </si>
  <si>
    <t>Frank Preis</t>
  </si>
  <si>
    <t>Cari Schnelling</t>
  </si>
  <si>
    <t>Anthony Johnson</t>
  </si>
  <si>
    <t>Adam Shillingsburg</t>
  </si>
  <si>
    <t>Christina VanderZanden</t>
  </si>
  <si>
    <t>Alan Haines</t>
  </si>
  <si>
    <t>Evan Henry</t>
  </si>
  <si>
    <t>Jessica Myrick</t>
  </si>
  <si>
    <t>Bill Stewart</t>
  </si>
  <si>
    <t>Jim Karlsson</t>
  </si>
  <si>
    <t>Seth Vernon</t>
  </si>
  <si>
    <t>Toby Braunhardt</t>
  </si>
  <si>
    <t>Mark Hamilton</t>
  </si>
  <si>
    <t>Pete Kriz</t>
  </si>
  <si>
    <t>David Kendrick</t>
  </si>
  <si>
    <t>Jamie Frazer</t>
  </si>
  <si>
    <t>Allen Armold</t>
  </si>
  <si>
    <t>Scott Cohen</t>
  </si>
  <si>
    <t>Greg Tran</t>
  </si>
  <si>
    <t>Sibella Parks</t>
  </si>
  <si>
    <t>Edward Becker</t>
  </si>
  <si>
    <t>Annie Thurman</t>
  </si>
  <si>
    <t>Kunst Miller</t>
  </si>
  <si>
    <t>Giulietta Baptist</t>
  </si>
  <si>
    <t>Julie Prescott</t>
  </si>
  <si>
    <t>Katharine Harms</t>
  </si>
  <si>
    <t>Brooke Gillingham</t>
  </si>
  <si>
    <t>James Galang</t>
  </si>
  <si>
    <t>Nathan Mautz</t>
  </si>
  <si>
    <t>Katherine Ducich</t>
  </si>
  <si>
    <t>Cathy Armstrong</t>
  </si>
  <si>
    <t>Lena Hernandez</t>
  </si>
  <si>
    <t>Astrea Jones</t>
  </si>
  <si>
    <t>Lena Creighton</t>
  </si>
  <si>
    <t>Andy Gerbode</t>
  </si>
  <si>
    <t>Lindsay Castell</t>
  </si>
  <si>
    <t>Edward Hooks</t>
  </si>
  <si>
    <t>Scott Williamson</t>
  </si>
  <si>
    <t>Ken Dana</t>
  </si>
  <si>
    <t>Ben Wallace</t>
  </si>
  <si>
    <t>Neoma Murray</t>
  </si>
  <si>
    <t>Tamara Willingham</t>
  </si>
  <si>
    <t>Jim Sink</t>
  </si>
  <si>
    <t>Corey Roper</t>
  </si>
  <si>
    <t>Ed Ludwig</t>
  </si>
  <si>
    <t>Thomas Brumley</t>
  </si>
  <si>
    <t>Maria Etezadi</t>
  </si>
  <si>
    <t>Steve Nguyen</t>
  </si>
  <si>
    <t>Adam Bellavance</t>
  </si>
  <si>
    <t>Cynthia Delaney</t>
  </si>
  <si>
    <t>Mick Hernandez</t>
  </si>
  <si>
    <t>Daniel Raglin</t>
  </si>
  <si>
    <t>Victor Preis</t>
  </si>
  <si>
    <t>Pete Armstrong</t>
  </si>
  <si>
    <t>Dianna Wilson</t>
  </si>
  <si>
    <t>Dean percer</t>
  </si>
  <si>
    <t>Karen Ferguson</t>
  </si>
  <si>
    <t>Deanra Eno</t>
  </si>
  <si>
    <t>Robert Dilbeck</t>
  </si>
  <si>
    <t>Frank Merwin</t>
  </si>
  <si>
    <t>Alejandro Ballentine</t>
  </si>
  <si>
    <t>Michelle Arnett</t>
  </si>
  <si>
    <t>Steven Roelle</t>
  </si>
  <si>
    <t>Anthony Garverick</t>
  </si>
  <si>
    <t>Penelope Sewall</t>
  </si>
  <si>
    <t>Dennis Pardue</t>
  </si>
  <si>
    <t>Catherine Glotzbach</t>
  </si>
  <si>
    <t>Tom Ashbrook</t>
  </si>
  <si>
    <t>Philisse Overcash</t>
  </si>
  <si>
    <t>Dianna Arnett</t>
  </si>
  <si>
    <t>Rick Bensley</t>
  </si>
  <si>
    <t>Nick Zandusky</t>
  </si>
  <si>
    <t>Adrian Hane</t>
  </si>
  <si>
    <t>Shirley Schmidt</t>
  </si>
  <si>
    <t>Christopher Schild</t>
  </si>
  <si>
    <t>Eugene Hildebrand</t>
  </si>
  <si>
    <t>Michelle Tran</t>
  </si>
  <si>
    <t>Ben Ferrer</t>
  </si>
  <si>
    <t>Skye Norling</t>
  </si>
  <si>
    <t>Laurel Beltran</t>
  </si>
  <si>
    <t>Christine Kargatis</t>
  </si>
  <si>
    <t>Nora Pelletier</t>
  </si>
  <si>
    <t>Patrick Bzostek</t>
  </si>
  <si>
    <t>Ross DeVincentis</t>
  </si>
  <si>
    <t>Eugene Moren</t>
  </si>
  <si>
    <t>Darrin Sayre</t>
  </si>
  <si>
    <t>Beth Thompson</t>
  </si>
  <si>
    <t>Kristina Nunn</t>
  </si>
  <si>
    <t>Vicky Freymann</t>
  </si>
  <si>
    <t>Paul Stevenson</t>
  </si>
  <si>
    <t>Paul Prost</t>
  </si>
  <si>
    <t>Tracy Collins</t>
  </si>
  <si>
    <t>Sean Wendt</t>
  </si>
  <si>
    <t>Frank Carlisle</t>
  </si>
  <si>
    <t>Alyssa Tate</t>
  </si>
  <si>
    <t>Daniel Byrd</t>
  </si>
  <si>
    <t>Roger Barcio</t>
  </si>
  <si>
    <t>Ross Baird</t>
  </si>
  <si>
    <t>Tanja Norvell</t>
  </si>
  <si>
    <t>Tracy Hopkins</t>
  </si>
  <si>
    <t>Sharelle Roach</t>
  </si>
  <si>
    <t>Craig Leslie</t>
  </si>
  <si>
    <t>Sanjit Jacobs</t>
  </si>
  <si>
    <t>Gary Hansen</t>
  </si>
  <si>
    <t>Sean Miller</t>
  </si>
  <si>
    <t>Harold Pawlan</t>
  </si>
  <si>
    <t>Paul Lucas</t>
  </si>
  <si>
    <t>Row Labels</t>
  </si>
  <si>
    <t>Grand Total</t>
  </si>
  <si>
    <t>Sum of Sales</t>
  </si>
  <si>
    <t>Sum of Quantity</t>
  </si>
  <si>
    <t>Total quantity sold</t>
    <phoneticPr fontId="2"/>
  </si>
  <si>
    <t xml:space="preserve"> Date</t>
    <phoneticPr fontId="2"/>
  </si>
  <si>
    <t xml:space="preserve">Total revenue </t>
    <phoneticPr fontId="2"/>
  </si>
  <si>
    <t>2017年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</si>
</sst>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09]\ #,##0.00;[$₹-4009]\ #,##0.00"/>
  </numFmts>
  <fonts count="3">
    <font>
      <sz val="11"/>
      <color theme="1"/>
      <name val="游ゴシック"/>
      <family val="2"/>
      <charset val="128"/>
      <scheme val="minor"/>
    </font>
    <font>
      <sz val="11"/>
      <color indexed="8"/>
      <name val="Calibri"/>
      <family val="2"/>
    </font>
    <font>
      <sz val="6"/>
      <name val="游ゴシック"/>
      <family val="2"/>
      <charset val="128"/>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3">
    <xf numFmtId="0" fontId="0" fillId="0" borderId="0" xfId="0">
      <alignment vertical="center"/>
    </xf>
    <xf numFmtId="0" fontId="1" fillId="0" borderId="0" xfId="0" applyFont="1" applyAlignment="1"/>
    <xf numFmtId="1" fontId="1" fillId="0" borderId="0" xfId="0" applyNumberFormat="1" applyFont="1" applyAlignment="1"/>
    <xf numFmtId="0" fontId="0" fillId="0" borderId="0" xfId="0" pivotButton="1">
      <alignment vertical="center"/>
    </xf>
    <xf numFmtId="0" fontId="0" fillId="0" borderId="0" xfId="0" applyAlignment="1">
      <alignment horizontal="left" vertical="center"/>
    </xf>
    <xf numFmtId="1" fontId="0" fillId="0" borderId="0" xfId="0" applyNumberFormat="1">
      <alignment vertical="center"/>
    </xf>
    <xf numFmtId="0" fontId="1" fillId="0" borderId="0" xfId="0" applyFont="1" applyAlignment="1">
      <alignment horizontal="center"/>
    </xf>
    <xf numFmtId="14" fontId="1" fillId="0" borderId="0" xfId="0" applyNumberFormat="1" applyFont="1" applyAlignment="1">
      <alignment horizontal="center"/>
    </xf>
    <xf numFmtId="14" fontId="1" fillId="0" borderId="0" xfId="0" applyNumberFormat="1" applyFont="1" applyAlignment="1"/>
    <xf numFmtId="0" fontId="0" fillId="2" borderId="1" xfId="0" applyFill="1" applyBorder="1" applyAlignment="1">
      <alignment horizontal="left" vertical="center"/>
    </xf>
    <xf numFmtId="176" fontId="0" fillId="2" borderId="1" xfId="0" applyNumberFormat="1" applyFill="1" applyBorder="1">
      <alignment vertical="center"/>
    </xf>
    <xf numFmtId="0" fontId="0" fillId="2" borderId="1" xfId="0" applyFill="1" applyBorder="1">
      <alignment vertical="center"/>
    </xf>
    <xf numFmtId="14" fontId="0" fillId="0" borderId="0" xfId="0" applyNumberFormat="1" applyAlignment="1">
      <alignment horizontal="left" vertical="center"/>
    </xf>
  </cellXfs>
  <cellStyles count="1">
    <cellStyle name="Normal" xfId="0" builtinId="0"/>
  </cellStyles>
  <dxfs count="31">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numFmt numFmtId="19" formatCode="dd/mm/yyyy"/>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numFmt numFmtId="19" formatCode="dd/mm/yyyy"/>
    </dxf>
  </dxfs>
  <tableStyles count="0" defaultTableStyle="TableStyleMedium2" defaultPivotStyle="PivotStyleLight16"/>
  <colors>
    <mruColors>
      <color rgb="FFD6BF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sheet !PivotTable1</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ltLang="ja-JP" sz="1600" b="1" baseline="0"/>
              <a:t>Sales by Region</a:t>
            </a:r>
          </a:p>
        </c:rich>
      </c:tx>
      <c:layout>
        <c:manualLayout>
          <c:xMode val="edge"/>
          <c:yMode val="edge"/>
          <c:x val="7.8807992434800023E-2"/>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layout>
            <c:manualLayout>
              <c:x val="-3.6235285121763395E-3"/>
              <c:y val="-3.55384258063071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35164746434321"/>
          <c:y val="0.33275812696638968"/>
          <c:w val="0.84864835253565685"/>
          <c:h val="0.45166261068447383"/>
        </c:manualLayout>
      </c:layout>
      <c:barChart>
        <c:barDir val="col"/>
        <c:grouping val="clustered"/>
        <c:varyColors val="0"/>
        <c:ser>
          <c:idx val="0"/>
          <c:order val="0"/>
          <c:tx>
            <c:strRef>
              <c:f>'pivot sheet '!$B$3</c:f>
              <c:strCache>
                <c:ptCount val="1"/>
                <c:pt idx="0">
                  <c:v>Total</c:v>
                </c:pt>
              </c:strCache>
            </c:strRef>
          </c:tx>
          <c:spPr>
            <a:solidFill>
              <a:schemeClr val="accent6">
                <a:lumMod val="60000"/>
                <a:lumOff val="40000"/>
              </a:schemeClr>
            </a:solidFill>
            <a:ln>
              <a:noFill/>
            </a:ln>
            <a:effectLst/>
          </c:spPr>
          <c:invertIfNegative val="0"/>
          <c:dLbls>
            <c:dLbl>
              <c:idx val="0"/>
              <c:layout>
                <c:manualLayout>
                  <c:x val="-3.6235285121763395E-3"/>
                  <c:y val="-3.5538425806307186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'!$A$4:$A$5</c:f>
              <c:strCache>
                <c:ptCount val="1"/>
                <c:pt idx="0">
                  <c:v>South</c:v>
                </c:pt>
              </c:strCache>
            </c:strRef>
          </c:cat>
          <c:val>
            <c:numRef>
              <c:f>'pivot sheet '!$B$4:$B$5</c:f>
              <c:numCache>
                <c:formatCode>0</c:formatCode>
                <c:ptCount val="1"/>
                <c:pt idx="0">
                  <c:v>10447</c:v>
                </c:pt>
              </c:numCache>
            </c:numRef>
          </c:val>
          <c:extLst>
            <c:ext xmlns:c16="http://schemas.microsoft.com/office/drawing/2014/chart" uri="{C3380CC4-5D6E-409C-BE32-E72D297353CC}">
              <c16:uniqueId val="{00000000-5C29-4F99-891B-592A63513347}"/>
            </c:ext>
          </c:extLst>
        </c:ser>
        <c:dLbls>
          <c:dLblPos val="outEnd"/>
          <c:showLegendKey val="0"/>
          <c:showVal val="1"/>
          <c:showCatName val="0"/>
          <c:showSerName val="0"/>
          <c:showPercent val="0"/>
          <c:showBubbleSize val="0"/>
        </c:dLbls>
        <c:gapWidth val="219"/>
        <c:overlap val="-27"/>
        <c:axId val="585110968"/>
        <c:axId val="420094304"/>
      </c:barChart>
      <c:catAx>
        <c:axId val="585110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20094304"/>
        <c:crosses val="autoZero"/>
        <c:auto val="1"/>
        <c:lblAlgn val="ctr"/>
        <c:lblOffset val="100"/>
        <c:noMultiLvlLbl val="0"/>
      </c:catAx>
      <c:valAx>
        <c:axId val="420094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585110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sheet !PivotTable2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sz="1600" b="1"/>
              <a:t>Monthly</a:t>
            </a:r>
            <a:r>
              <a:rPr lang="en-US" altLang="ja-JP" sz="1600" b="1" baseline="0"/>
              <a:t> Sales Trend</a:t>
            </a:r>
            <a:endParaRPr lang="en-US" altLang="ja-JP" sz="1600" b="1"/>
          </a:p>
        </c:rich>
      </c:tx>
      <c:layout>
        <c:manualLayout>
          <c:xMode val="edge"/>
          <c:yMode val="edge"/>
          <c:x val="1.4499999999999997E-2"/>
          <c:y val="2.22115213084859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84809849017258E-3"/>
              <c:y val="-0.28425176237401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0559998947473444"/>
                  <c:h val="0.151013680249455"/>
                </c:manualLayout>
              </c15:layout>
            </c:ext>
          </c:extLst>
        </c:dLbl>
      </c:pivotFmt>
      <c:pivotFmt>
        <c:idx val="4"/>
        <c:dLbl>
          <c:idx val="0"/>
          <c:layout>
            <c:manualLayout>
              <c:x val="-2.7848098490172836E-3"/>
              <c:y val="-0.2086913753175277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784809849017258E-3"/>
              <c:y val="-0.1727101037110574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dLbl>
          <c:idx val="0"/>
          <c:layout>
            <c:manualLayout>
              <c:x val="-1.0210851489768878E-16"/>
              <c:y val="-0.316635190136938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6981627296589"/>
          <c:y val="0.29267381244148344"/>
          <c:w val="0.72728937007874017"/>
          <c:h val="0.50536224601037938"/>
        </c:manualLayout>
      </c:layout>
      <c:barChart>
        <c:barDir val="col"/>
        <c:grouping val="stacked"/>
        <c:varyColors val="0"/>
        <c:ser>
          <c:idx val="0"/>
          <c:order val="0"/>
          <c:tx>
            <c:strRef>
              <c:f>'pivot sheet '!$E$9</c:f>
              <c:strCache>
                <c:ptCount val="1"/>
                <c:pt idx="0">
                  <c:v>Total</c:v>
                </c:pt>
              </c:strCache>
            </c:strRef>
          </c:tx>
          <c:spPr>
            <a:solidFill>
              <a:srgbClr val="00B050"/>
            </a:solidFill>
            <a:ln>
              <a:noFill/>
            </a:ln>
            <a:effectLst/>
          </c:spPr>
          <c:invertIfNegative val="0"/>
          <c:dLbls>
            <c:dLbl>
              <c:idx val="0"/>
              <c:layout>
                <c:manualLayout>
                  <c:x val="-1.0210851489768878E-16"/>
                  <c:y val="-0.31663519013693847"/>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'!$D$10:$D$11</c:f>
              <c:strCache>
                <c:ptCount val="1"/>
                <c:pt idx="0">
                  <c:v>2017年</c:v>
                </c:pt>
              </c:strCache>
            </c:strRef>
          </c:cat>
          <c:val>
            <c:numRef>
              <c:f>'pivot sheet '!$E$10:$E$11</c:f>
              <c:numCache>
                <c:formatCode>0</c:formatCode>
                <c:ptCount val="1"/>
                <c:pt idx="0">
                  <c:v>10447</c:v>
                </c:pt>
              </c:numCache>
            </c:numRef>
          </c:val>
          <c:extLst>
            <c:ext xmlns:c16="http://schemas.microsoft.com/office/drawing/2014/chart" uri="{C3380CC4-5D6E-409C-BE32-E72D297353CC}">
              <c16:uniqueId val="{00000000-2B27-41B5-ACFF-F223F2927BC3}"/>
            </c:ext>
          </c:extLst>
        </c:ser>
        <c:dLbls>
          <c:dLblPos val="ctr"/>
          <c:showLegendKey val="0"/>
          <c:showVal val="1"/>
          <c:showCatName val="0"/>
          <c:showSerName val="0"/>
          <c:showPercent val="0"/>
          <c:showBubbleSize val="0"/>
        </c:dLbls>
        <c:gapWidth val="150"/>
        <c:overlap val="100"/>
        <c:axId val="416548984"/>
        <c:axId val="416546824"/>
      </c:barChart>
      <c:catAx>
        <c:axId val="416548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16546824"/>
        <c:crosses val="autoZero"/>
        <c:auto val="1"/>
        <c:lblAlgn val="ctr"/>
        <c:lblOffset val="100"/>
        <c:noMultiLvlLbl val="0"/>
      </c:catAx>
      <c:valAx>
        <c:axId val="416546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16548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sheet !PivotTable7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sz="1600" b="1"/>
              <a:t>Quantity sold by</a:t>
            </a:r>
            <a:r>
              <a:rPr lang="en-US" altLang="ja-JP" sz="1600" b="1" baseline="0"/>
              <a:t> Product</a:t>
            </a:r>
            <a:endParaRPr lang="en-US" altLang="ja-JP" sz="1600" b="1"/>
          </a:p>
        </c:rich>
      </c:tx>
      <c:layout>
        <c:manualLayout>
          <c:xMode val="edge"/>
          <c:yMode val="edge"/>
          <c:x val="1.59539674050199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0719256483110418E-2"/>
              <c:y val="-0.151666726377976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2.5011598460591106E-2"/>
              <c:y val="-0.16333339763782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4292341977480624E-2"/>
              <c:y val="-0.175000068897664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5.716936790992222E-2"/>
              <c:y val="-0.140000055118131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sheet '!$G$2</c:f>
              <c:strCache>
                <c:ptCount val="1"/>
                <c:pt idx="0">
                  <c:v>Total</c:v>
                </c:pt>
              </c:strCache>
            </c:strRef>
          </c:tx>
          <c:spPr>
            <a:solidFill>
              <a:schemeClr val="accent6"/>
            </a:solidFill>
            <a:ln>
              <a:noFill/>
            </a:ln>
            <a:effectLst/>
          </c:spPr>
          <c:dLbls>
            <c:dLbl>
              <c:idx val="0"/>
              <c:layout>
                <c:manualLayout>
                  <c:x val="-2.5011598460591106E-2"/>
                  <c:y val="-0.16333339763782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23-463D-98C7-D69AE9092B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'!$F$3:$F$4</c:f>
              <c:strCache>
                <c:ptCount val="1"/>
                <c:pt idx="0">
                  <c:v>Tablet</c:v>
                </c:pt>
              </c:strCache>
            </c:strRef>
          </c:cat>
          <c:val>
            <c:numRef>
              <c:f>'pivot sheet '!$G$3:$G$4</c:f>
              <c:numCache>
                <c:formatCode>0</c:formatCode>
                <c:ptCount val="1"/>
                <c:pt idx="0">
                  <c:v>660</c:v>
                </c:pt>
              </c:numCache>
            </c:numRef>
          </c:val>
          <c:extLst>
            <c:ext xmlns:c16="http://schemas.microsoft.com/office/drawing/2014/chart" uri="{C3380CC4-5D6E-409C-BE32-E72D297353CC}">
              <c16:uniqueId val="{00000000-BB23-463D-98C7-D69AE9092B96}"/>
            </c:ext>
          </c:extLst>
        </c:ser>
        <c:dLbls>
          <c:showLegendKey val="0"/>
          <c:showVal val="0"/>
          <c:showCatName val="0"/>
          <c:showSerName val="0"/>
          <c:showPercent val="0"/>
          <c:showBubbleSize val="0"/>
        </c:dLbls>
        <c:axId val="416549704"/>
        <c:axId val="416550064"/>
      </c:areaChart>
      <c:catAx>
        <c:axId val="416549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16550064"/>
        <c:crosses val="autoZero"/>
        <c:auto val="1"/>
        <c:lblAlgn val="ctr"/>
        <c:lblOffset val="100"/>
        <c:noMultiLvlLbl val="0"/>
      </c:catAx>
      <c:valAx>
        <c:axId val="416550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165497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sheet !PivotTable8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sz="1600" b="1"/>
              <a:t>Sales by Product</a:t>
            </a:r>
          </a:p>
        </c:rich>
      </c:tx>
      <c:layout>
        <c:manualLayout>
          <c:xMode val="edge"/>
          <c:yMode val="edge"/>
          <c:x val="1.924213066487646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 '!$H$10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'!$G$11:$G$12</c:f>
              <c:strCache>
                <c:ptCount val="1"/>
                <c:pt idx="0">
                  <c:v>Tablet</c:v>
                </c:pt>
              </c:strCache>
            </c:strRef>
          </c:cat>
          <c:val>
            <c:numRef>
              <c:f>'pivot sheet '!$H$11:$H$12</c:f>
              <c:numCache>
                <c:formatCode>0</c:formatCode>
                <c:ptCount val="1"/>
                <c:pt idx="0">
                  <c:v>10447</c:v>
                </c:pt>
              </c:numCache>
            </c:numRef>
          </c:val>
          <c:extLst>
            <c:ext xmlns:c16="http://schemas.microsoft.com/office/drawing/2014/chart" uri="{C3380CC4-5D6E-409C-BE32-E72D297353CC}">
              <c16:uniqueId val="{00000000-6209-4E3E-8E15-098804FDBA68}"/>
            </c:ext>
          </c:extLst>
        </c:ser>
        <c:dLbls>
          <c:showLegendKey val="0"/>
          <c:showVal val="0"/>
          <c:showCatName val="0"/>
          <c:showSerName val="0"/>
          <c:showPercent val="0"/>
          <c:showBubbleSize val="0"/>
        </c:dLbls>
        <c:gapWidth val="70"/>
        <c:axId val="416541784"/>
        <c:axId val="416539264"/>
      </c:barChart>
      <c:catAx>
        <c:axId val="416541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16539264"/>
        <c:crosses val="autoZero"/>
        <c:auto val="1"/>
        <c:lblAlgn val="ctr"/>
        <c:lblOffset val="100"/>
        <c:noMultiLvlLbl val="0"/>
      </c:catAx>
      <c:valAx>
        <c:axId val="4165392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16541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hyperlink" Target="#'pivot sheet '!A1"/><Relationship Id="rId7" Type="http://schemas.openxmlformats.org/officeDocument/2006/relationships/image" Target="../media/image5.svg"/><Relationship Id="rId2" Type="http://schemas.openxmlformats.org/officeDocument/2006/relationships/image" Target="../media/image1.png"/><Relationship Id="rId1" Type="http://schemas.openxmlformats.org/officeDocument/2006/relationships/hyperlink" Target="#Data!A1"/><Relationship Id="rId6" Type="http://schemas.openxmlformats.org/officeDocument/2006/relationships/image" Target="../media/image4.png"/><Relationship Id="rId11" Type="http://schemas.openxmlformats.org/officeDocument/2006/relationships/chart" Target="../charts/chart4.xml"/><Relationship Id="rId5" Type="http://schemas.openxmlformats.org/officeDocument/2006/relationships/image" Target="../media/image3.svg"/><Relationship Id="rId10" Type="http://schemas.openxmlformats.org/officeDocument/2006/relationships/chart" Target="../charts/chart3.xml"/><Relationship Id="rId4" Type="http://schemas.openxmlformats.org/officeDocument/2006/relationships/image" Target="../media/image2.png"/><Relationship Id="rId9"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8247</xdr:rowOff>
    </xdr:from>
    <xdr:to>
      <xdr:col>23</xdr:col>
      <xdr:colOff>461818</xdr:colOff>
      <xdr:row>21</xdr:row>
      <xdr:rowOff>206542</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91D569B9-A81F-C8B7-1833-CA793007B78D}"/>
            </a:ext>
          </a:extLst>
        </xdr:cNvPr>
        <xdr:cNvSpPr/>
      </xdr:nvSpPr>
      <xdr:spPr>
        <a:xfrm>
          <a:off x="0" y="8247"/>
          <a:ext cx="15635844" cy="5047386"/>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100"/>
        </a:p>
        <a:p>
          <a:pPr algn="l"/>
          <a:endParaRPr kumimoji="1" lang="ja-JP" altLang="en-US" sz="1100"/>
        </a:p>
      </xdr:txBody>
    </xdr:sp>
    <xdr:clientData/>
  </xdr:twoCellAnchor>
  <xdr:twoCellAnchor>
    <xdr:from>
      <xdr:col>3</xdr:col>
      <xdr:colOff>16493</xdr:colOff>
      <xdr:row>0</xdr:row>
      <xdr:rowOff>57727</xdr:rowOff>
    </xdr:from>
    <xdr:to>
      <xdr:col>23</xdr:col>
      <xdr:colOff>346364</xdr:colOff>
      <xdr:row>21</xdr:row>
      <xdr:rowOff>123701</xdr:rowOff>
    </xdr:to>
    <xdr:sp macro="" textlink="">
      <xdr:nvSpPr>
        <xdr:cNvPr id="5" name="Rectangle: Rounded Corners 4">
          <a:extLst>
            <a:ext uri="{FF2B5EF4-FFF2-40B4-BE49-F238E27FC236}">
              <a16:creationId xmlns:a16="http://schemas.microsoft.com/office/drawing/2014/main" id="{2BA10579-6E25-41C9-81FE-30097073C477}"/>
            </a:ext>
          </a:extLst>
        </xdr:cNvPr>
        <xdr:cNvSpPr/>
      </xdr:nvSpPr>
      <xdr:spPr>
        <a:xfrm>
          <a:off x="1995714" y="57727"/>
          <a:ext cx="13524676" cy="4915065"/>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206172</xdr:colOff>
      <xdr:row>0</xdr:row>
      <xdr:rowOff>181431</xdr:rowOff>
    </xdr:from>
    <xdr:to>
      <xdr:col>3</xdr:col>
      <xdr:colOff>65974</xdr:colOff>
      <xdr:row>5</xdr:row>
      <xdr:rowOff>196008</xdr:rowOff>
    </xdr:to>
    <xdr:pic>
      <xdr:nvPicPr>
        <xdr:cNvPr id="8" name="Picture 7" descr="Excel Logo PNGs for Free Download">
          <a:extLst>
            <a:ext uri="{FF2B5EF4-FFF2-40B4-BE49-F238E27FC236}">
              <a16:creationId xmlns:a16="http://schemas.microsoft.com/office/drawing/2014/main" id="{0FFD7ECB-7073-90CE-A5A8-E044F754F293}"/>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6717" b="-12514"/>
        <a:stretch>
          <a:fillRect/>
        </a:stretch>
      </xdr:blipFill>
      <xdr:spPr bwMode="auto">
        <a:xfrm>
          <a:off x="865912" y="181431"/>
          <a:ext cx="1179283" cy="1169122"/>
        </a:xfrm>
        <a:prstGeom prst="rect">
          <a:avLst/>
        </a:prstGeom>
        <a:ln>
          <a:noFill/>
        </a:ln>
        <a:effectLst>
          <a:reflection blurRad="12700" stA="30000" endPos="30000" dist="5000" dir="5400000" sy="-100000" algn="bl" rotWithShape="0"/>
        </a:effectLst>
        <a:scene3d>
          <a:camera prst="perspectiveContrastingLeftFacing">
            <a:rot lat="300000" lon="19800000" rev="0"/>
          </a:camera>
          <a:lightRig rig="threePt" dir="t">
            <a:rot lat="0" lon="0" rev="2700000"/>
          </a:lightRig>
        </a:scene3d>
        <a:sp3d>
          <a:bevelT w="63500" h="50800"/>
        </a:sp3d>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255648</xdr:colOff>
      <xdr:row>8</xdr:row>
      <xdr:rowOff>98962</xdr:rowOff>
    </xdr:from>
    <xdr:to>
      <xdr:col>2</xdr:col>
      <xdr:colOff>634998</xdr:colOff>
      <xdr:row>10</xdr:row>
      <xdr:rowOff>57728</xdr:rowOff>
    </xdr:to>
    <xdr:sp macro="" textlink="">
      <xdr:nvSpPr>
        <xdr:cNvPr id="9" name="Rectangle: Rounded Corners 8">
          <a:extLst>
            <a:ext uri="{FF2B5EF4-FFF2-40B4-BE49-F238E27FC236}">
              <a16:creationId xmlns:a16="http://schemas.microsoft.com/office/drawing/2014/main" id="{609E62AC-C944-E7C6-83C0-FA2DDDD51D24}"/>
            </a:ext>
          </a:extLst>
        </xdr:cNvPr>
        <xdr:cNvSpPr/>
      </xdr:nvSpPr>
      <xdr:spPr>
        <a:xfrm>
          <a:off x="255648" y="1946235"/>
          <a:ext cx="1698831" cy="420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b="1">
              <a:solidFill>
                <a:schemeClr val="tx1"/>
              </a:solidFill>
            </a:rPr>
            <a:t>   </a:t>
          </a:r>
          <a:r>
            <a:rPr kumimoji="1" lang="en-US" altLang="ja-JP" sz="2000" b="1">
              <a:solidFill>
                <a:schemeClr val="accent6">
                  <a:lumMod val="75000"/>
                </a:schemeClr>
              </a:solidFill>
            </a:rPr>
            <a:t>Dashboard</a:t>
          </a:r>
          <a:endParaRPr kumimoji="1" lang="ja-JP" altLang="en-US" sz="2000" b="1">
            <a:solidFill>
              <a:schemeClr val="accent6">
                <a:lumMod val="75000"/>
              </a:schemeClr>
            </a:solidFill>
          </a:endParaRPr>
        </a:p>
      </xdr:txBody>
    </xdr:sp>
    <xdr:clientData/>
  </xdr:twoCellAnchor>
  <xdr:twoCellAnchor>
    <xdr:from>
      <xdr:col>0</xdr:col>
      <xdr:colOff>329872</xdr:colOff>
      <xdr:row>10</xdr:row>
      <xdr:rowOff>140194</xdr:rowOff>
    </xdr:from>
    <xdr:to>
      <xdr:col>2</xdr:col>
      <xdr:colOff>635000</xdr:colOff>
      <xdr:row>12</xdr:row>
      <xdr:rowOff>98960</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8D9071A0-5957-44EE-BF75-BF118F9F15BB}"/>
            </a:ext>
          </a:extLst>
        </xdr:cNvPr>
        <xdr:cNvSpPr/>
      </xdr:nvSpPr>
      <xdr:spPr>
        <a:xfrm>
          <a:off x="329872" y="2449285"/>
          <a:ext cx="1624609" cy="420584"/>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b="1">
              <a:solidFill>
                <a:schemeClr val="bg1"/>
              </a:solidFill>
            </a:rPr>
            <a:t>   Summary</a:t>
          </a:r>
          <a:r>
            <a:rPr kumimoji="1" lang="en-US" altLang="ja-JP" sz="2000" b="1">
              <a:solidFill>
                <a:schemeClr val="accent6">
                  <a:lumMod val="75000"/>
                </a:schemeClr>
              </a:solidFill>
            </a:rPr>
            <a:t>d</a:t>
          </a:r>
          <a:endParaRPr kumimoji="1" lang="ja-JP" altLang="en-US" sz="2000" b="1">
            <a:solidFill>
              <a:schemeClr val="accent6">
                <a:lumMod val="75000"/>
              </a:schemeClr>
            </a:solidFill>
          </a:endParaRPr>
        </a:p>
      </xdr:txBody>
    </xdr:sp>
    <xdr:clientData/>
  </xdr:twoCellAnchor>
  <xdr:twoCellAnchor>
    <xdr:from>
      <xdr:col>0</xdr:col>
      <xdr:colOff>305130</xdr:colOff>
      <xdr:row>13</xdr:row>
      <xdr:rowOff>41235</xdr:rowOff>
    </xdr:from>
    <xdr:to>
      <xdr:col>2</xdr:col>
      <xdr:colOff>643246</xdr:colOff>
      <xdr:row>15</xdr:row>
      <xdr:rowOff>1</xdr:rowOff>
    </xdr:to>
    <xdr:sp macro="" textlink="">
      <xdr:nvSpPr>
        <xdr:cNvPr id="16" name="Rectangle: Rounded Corners 15">
          <a:extLst>
            <a:ext uri="{FF2B5EF4-FFF2-40B4-BE49-F238E27FC236}">
              <a16:creationId xmlns:a16="http://schemas.microsoft.com/office/drawing/2014/main" id="{6072C035-D754-49BC-B8C2-6A0B08D9836E}"/>
            </a:ext>
          </a:extLst>
        </xdr:cNvPr>
        <xdr:cNvSpPr/>
      </xdr:nvSpPr>
      <xdr:spPr>
        <a:xfrm>
          <a:off x="305130" y="3043053"/>
          <a:ext cx="1657597" cy="420584"/>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b="1">
              <a:solidFill>
                <a:schemeClr val="bg1"/>
              </a:solidFill>
            </a:rPr>
            <a:t>       Data</a:t>
          </a:r>
          <a:r>
            <a:rPr kumimoji="1" lang="en-US" altLang="ja-JP" sz="2000" b="1">
              <a:solidFill>
                <a:schemeClr val="accent6">
                  <a:lumMod val="75000"/>
                </a:schemeClr>
              </a:solidFill>
            </a:rPr>
            <a:t>d</a:t>
          </a:r>
          <a:endParaRPr kumimoji="1" lang="ja-JP" altLang="en-US" sz="2000" b="1">
            <a:solidFill>
              <a:schemeClr val="accent6">
                <a:lumMod val="75000"/>
              </a:schemeClr>
            </a:solidFill>
          </a:endParaRPr>
        </a:p>
      </xdr:txBody>
    </xdr:sp>
    <xdr:clientData/>
  </xdr:twoCellAnchor>
  <xdr:twoCellAnchor editAs="oneCell">
    <xdr:from>
      <xdr:col>3</xdr:col>
      <xdr:colOff>346364</xdr:colOff>
      <xdr:row>1</xdr:row>
      <xdr:rowOff>8246</xdr:rowOff>
    </xdr:from>
    <xdr:to>
      <xdr:col>15</xdr:col>
      <xdr:colOff>115455</xdr:colOff>
      <xdr:row>5</xdr:row>
      <xdr:rowOff>189676</xdr:rowOff>
    </xdr:to>
    <mc:AlternateContent xmlns:mc="http://schemas.openxmlformats.org/markup-compatibility/2006" xmlns:tsle="http://schemas.microsoft.com/office/drawing/2012/timeslicer">
      <mc:Choice Requires="tsle">
        <xdr:graphicFrame macro="">
          <xdr:nvGraphicFramePr>
            <xdr:cNvPr id="2" name=" Date 1">
              <a:extLst>
                <a:ext uri="{FF2B5EF4-FFF2-40B4-BE49-F238E27FC236}">
                  <a16:creationId xmlns:a16="http://schemas.microsoft.com/office/drawing/2014/main" id="{BFF8DB0C-EE24-4F19-B172-C58539D64726}"/>
                </a:ext>
              </a:extLst>
            </xdr:cNvPr>
            <xdr:cNvGraphicFramePr/>
          </xdr:nvGraphicFramePr>
          <xdr:xfrm>
            <a:off x="0" y="0"/>
            <a:ext cx="0" cy="0"/>
          </xdr:xfrm>
          <a:graphic>
            <a:graphicData uri="http://schemas.microsoft.com/office/drawing/2012/timeslicer">
              <tsle:timeslicer name=" Date 1"/>
            </a:graphicData>
          </a:graphic>
        </xdr:graphicFrame>
      </mc:Choice>
      <mc:Fallback xmlns="">
        <xdr:sp macro="" textlink="">
          <xdr:nvSpPr>
            <xdr:cNvPr id="0" name=""/>
            <xdr:cNvSpPr>
              <a:spLocks noTextEdit="1"/>
            </xdr:cNvSpPr>
          </xdr:nvSpPr>
          <xdr:spPr>
            <a:xfrm>
              <a:off x="2325585" y="239155"/>
              <a:ext cx="7685974" cy="1105066"/>
            </a:xfrm>
            <a:prstGeom prst="rect">
              <a:avLst/>
            </a:prstGeom>
            <a:solidFill>
              <a:prstClr val="white"/>
            </a:solidFill>
            <a:ln w="1">
              <a:solidFill>
                <a:prstClr val="green"/>
              </a:solidFill>
            </a:ln>
          </xdr:spPr>
          <xdr:txBody>
            <a:bodyPr vertOverflow="clip" horzOverflow="clip"/>
            <a:lstStyle/>
            <a:p>
              <a:r>
                <a:rPr lang="ja-JP" altLang="en-US" sz="1100"/>
                <a:t>Timeline: Works in Excel 2013 or higher. Do not move or resize.</a:t>
              </a:r>
            </a:p>
          </xdr:txBody>
        </xdr:sp>
      </mc:Fallback>
    </mc:AlternateContent>
    <xdr:clientData/>
  </xdr:twoCellAnchor>
  <xdr:twoCellAnchor editAs="oneCell">
    <xdr:from>
      <xdr:col>15</xdr:col>
      <xdr:colOff>131945</xdr:colOff>
      <xdr:row>1</xdr:row>
      <xdr:rowOff>16494</xdr:rowOff>
    </xdr:from>
    <xdr:to>
      <xdr:col>23</xdr:col>
      <xdr:colOff>32987</xdr:colOff>
      <xdr:row>5</xdr:row>
      <xdr:rowOff>181430</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CA412DE0-8A5E-4607-A86E-F3F099B4EE6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028049" y="247403"/>
              <a:ext cx="5178964" cy="1088572"/>
            </a:xfrm>
            <a:prstGeom prst="rect">
              <a:avLst/>
            </a:prstGeom>
            <a:solidFill>
              <a:prstClr val="white"/>
            </a:solidFill>
            <a:ln w="1">
              <a:solidFill>
                <a:prstClr val="green"/>
              </a:solidFill>
            </a:ln>
          </xdr:spPr>
          <xdr:txBody>
            <a:bodyPr vertOverflow="clip" horzOverflow="clip"/>
            <a:lstStyle/>
            <a:p>
              <a:r>
                <a:rPr lang="ja-JP"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255649</xdr:colOff>
      <xdr:row>6</xdr:row>
      <xdr:rowOff>65975</xdr:rowOff>
    </xdr:from>
    <xdr:to>
      <xdr:col>22</xdr:col>
      <xdr:colOff>453570</xdr:colOff>
      <xdr:row>9</xdr:row>
      <xdr:rowOff>194048</xdr:rowOff>
    </xdr:to>
    <mc:AlternateContent xmlns:mc="http://schemas.openxmlformats.org/markup-compatibility/2006" xmlns:a14="http://schemas.microsoft.com/office/drawing/2010/main">
      <mc:Choice Requires="a14">
        <xdr:graphicFrame macro="">
          <xdr:nvGraphicFramePr>
            <xdr:cNvPr id="6" name="Product 1">
              <a:extLst>
                <a:ext uri="{FF2B5EF4-FFF2-40B4-BE49-F238E27FC236}">
                  <a16:creationId xmlns:a16="http://schemas.microsoft.com/office/drawing/2014/main" id="{FF53510B-BD9D-4B40-9D60-08F9AF97804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234870" y="1451430"/>
              <a:ext cx="12732986" cy="820800"/>
            </a:xfrm>
            <a:prstGeom prst="rect">
              <a:avLst/>
            </a:prstGeom>
            <a:solidFill>
              <a:prstClr val="white"/>
            </a:solidFill>
            <a:ln w="1">
              <a:solidFill>
                <a:prstClr val="green"/>
              </a:solidFill>
            </a:ln>
          </xdr:spPr>
          <xdr:txBody>
            <a:bodyPr vertOverflow="clip" horzOverflow="clip"/>
            <a:lstStyle/>
            <a:p>
              <a:r>
                <a:rPr lang="ja-JP"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296882</xdr:colOff>
      <xdr:row>10</xdr:row>
      <xdr:rowOff>16495</xdr:rowOff>
    </xdr:from>
    <xdr:to>
      <xdr:col>6</xdr:col>
      <xdr:colOff>346362</xdr:colOff>
      <xdr:row>13</xdr:row>
      <xdr:rowOff>41235</xdr:rowOff>
    </xdr:to>
    <xdr:sp macro="" textlink="">
      <xdr:nvSpPr>
        <xdr:cNvPr id="7" name="Rectangle: Rounded Corners 6">
          <a:extLst>
            <a:ext uri="{FF2B5EF4-FFF2-40B4-BE49-F238E27FC236}">
              <a16:creationId xmlns:a16="http://schemas.microsoft.com/office/drawing/2014/main" id="{681B6C31-61B4-6821-0A6F-D6115BE823F6}"/>
            </a:ext>
          </a:extLst>
        </xdr:cNvPr>
        <xdr:cNvSpPr/>
      </xdr:nvSpPr>
      <xdr:spPr>
        <a:xfrm>
          <a:off x="2276103" y="2325586"/>
          <a:ext cx="2028701" cy="717467"/>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507009</xdr:colOff>
      <xdr:row>10</xdr:row>
      <xdr:rowOff>3959</xdr:rowOff>
    </xdr:from>
    <xdr:to>
      <xdr:col>6</xdr:col>
      <xdr:colOff>556489</xdr:colOff>
      <xdr:row>13</xdr:row>
      <xdr:rowOff>28699</xdr:rowOff>
    </xdr:to>
    <xdr:sp macro="" textlink="">
      <xdr:nvSpPr>
        <xdr:cNvPr id="10" name="Rectangle: Rounded Corners 9">
          <a:extLst>
            <a:ext uri="{FF2B5EF4-FFF2-40B4-BE49-F238E27FC236}">
              <a16:creationId xmlns:a16="http://schemas.microsoft.com/office/drawing/2014/main" id="{462323D5-09CA-49A9-9978-663C1CF02103}"/>
            </a:ext>
          </a:extLst>
        </xdr:cNvPr>
        <xdr:cNvSpPr/>
      </xdr:nvSpPr>
      <xdr:spPr>
        <a:xfrm>
          <a:off x="2486230" y="2313050"/>
          <a:ext cx="2028701" cy="71746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xdr:colOff>
      <xdr:row>9</xdr:row>
      <xdr:rowOff>226950</xdr:rowOff>
    </xdr:from>
    <xdr:to>
      <xdr:col>10</xdr:col>
      <xdr:colOff>49481</xdr:colOff>
      <xdr:row>13</xdr:row>
      <xdr:rowOff>20781</xdr:rowOff>
    </xdr:to>
    <xdr:sp macro="" textlink="">
      <xdr:nvSpPr>
        <xdr:cNvPr id="13" name="Rectangle: Rounded Corners 12">
          <a:extLst>
            <a:ext uri="{FF2B5EF4-FFF2-40B4-BE49-F238E27FC236}">
              <a16:creationId xmlns:a16="http://schemas.microsoft.com/office/drawing/2014/main" id="{4C2A7C24-BC84-4222-852C-055CDF17A170}"/>
            </a:ext>
          </a:extLst>
        </xdr:cNvPr>
        <xdr:cNvSpPr/>
      </xdr:nvSpPr>
      <xdr:spPr>
        <a:xfrm>
          <a:off x="4618183" y="2305132"/>
          <a:ext cx="2028701" cy="717467"/>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168893</xdr:colOff>
      <xdr:row>9</xdr:row>
      <xdr:rowOff>222662</xdr:rowOff>
    </xdr:from>
    <xdr:to>
      <xdr:col>10</xdr:col>
      <xdr:colOff>218373</xdr:colOff>
      <xdr:row>13</xdr:row>
      <xdr:rowOff>16493</xdr:rowOff>
    </xdr:to>
    <xdr:sp macro="" textlink="">
      <xdr:nvSpPr>
        <xdr:cNvPr id="14" name="Rectangle: Rounded Corners 13">
          <a:extLst>
            <a:ext uri="{FF2B5EF4-FFF2-40B4-BE49-F238E27FC236}">
              <a16:creationId xmlns:a16="http://schemas.microsoft.com/office/drawing/2014/main" id="{CC6190C1-1CA9-4DB7-9678-D01CB435D9F6}"/>
            </a:ext>
          </a:extLst>
        </xdr:cNvPr>
        <xdr:cNvSpPr/>
      </xdr:nvSpPr>
      <xdr:spPr>
        <a:xfrm>
          <a:off x="4787075" y="2300844"/>
          <a:ext cx="2028701" cy="71746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453573</xdr:colOff>
      <xdr:row>10</xdr:row>
      <xdr:rowOff>148443</xdr:rowOff>
    </xdr:from>
    <xdr:to>
      <xdr:col>4</xdr:col>
      <xdr:colOff>280390</xdr:colOff>
      <xdr:row>12</xdr:row>
      <xdr:rowOff>173182</xdr:rowOff>
    </xdr:to>
    <xdr:pic>
      <xdr:nvPicPr>
        <xdr:cNvPr id="21" name="Graphic 20" descr="Bar graph with upward trend">
          <a:extLst>
            <a:ext uri="{FF2B5EF4-FFF2-40B4-BE49-F238E27FC236}">
              <a16:creationId xmlns:a16="http://schemas.microsoft.com/office/drawing/2014/main" id="{FB1DB9EB-7130-0556-0AA9-9966AB82EEC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432794" y="2457534"/>
          <a:ext cx="486557" cy="486557"/>
        </a:xfrm>
        <a:prstGeom prst="rect">
          <a:avLst/>
        </a:prstGeom>
      </xdr:spPr>
    </xdr:pic>
    <xdr:clientData/>
  </xdr:twoCellAnchor>
  <xdr:twoCellAnchor editAs="oneCell">
    <xdr:from>
      <xdr:col>7</xdr:col>
      <xdr:colOff>255650</xdr:colOff>
      <xdr:row>11</xdr:row>
      <xdr:rowOff>74221</xdr:rowOff>
    </xdr:from>
    <xdr:to>
      <xdr:col>8</xdr:col>
      <xdr:colOff>32987</xdr:colOff>
      <xdr:row>13</xdr:row>
      <xdr:rowOff>49480</xdr:rowOff>
    </xdr:to>
    <xdr:pic>
      <xdr:nvPicPr>
        <xdr:cNvPr id="25" name="Graphic 24" descr="Business Growth">
          <a:extLst>
            <a:ext uri="{FF2B5EF4-FFF2-40B4-BE49-F238E27FC236}">
              <a16:creationId xmlns:a16="http://schemas.microsoft.com/office/drawing/2014/main" id="{51F7FE40-2326-9A59-58A9-AA63A84810A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73832" y="2614221"/>
          <a:ext cx="437077" cy="437077"/>
        </a:xfrm>
        <a:prstGeom prst="rect">
          <a:avLst/>
        </a:prstGeom>
      </xdr:spPr>
    </xdr:pic>
    <xdr:clientData/>
  </xdr:twoCellAnchor>
  <xdr:twoCellAnchor>
    <xdr:from>
      <xdr:col>4</xdr:col>
      <xdr:colOff>255650</xdr:colOff>
      <xdr:row>10</xdr:row>
      <xdr:rowOff>16493</xdr:rowOff>
    </xdr:from>
    <xdr:to>
      <xdr:col>6</xdr:col>
      <xdr:colOff>404090</xdr:colOff>
      <xdr:row>11</xdr:row>
      <xdr:rowOff>140195</xdr:rowOff>
    </xdr:to>
    <xdr:sp macro="" textlink="">
      <xdr:nvSpPr>
        <xdr:cNvPr id="26" name="TextBox 25">
          <a:extLst>
            <a:ext uri="{FF2B5EF4-FFF2-40B4-BE49-F238E27FC236}">
              <a16:creationId xmlns:a16="http://schemas.microsoft.com/office/drawing/2014/main" id="{7587836C-EA05-DD7F-44E3-A91F7ADDD111}"/>
            </a:ext>
          </a:extLst>
        </xdr:cNvPr>
        <xdr:cNvSpPr txBox="1"/>
      </xdr:nvSpPr>
      <xdr:spPr>
        <a:xfrm>
          <a:off x="2894611" y="2325584"/>
          <a:ext cx="1467921" cy="3546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b="1">
              <a:latin typeface="New times roman"/>
            </a:rPr>
            <a:t>Total</a:t>
          </a:r>
          <a:r>
            <a:rPr kumimoji="1" lang="en-US" altLang="ja-JP" sz="1600" b="1" baseline="0">
              <a:latin typeface="New times roman"/>
            </a:rPr>
            <a:t> Revenue</a:t>
          </a:r>
          <a:endParaRPr kumimoji="1" lang="ja-JP" altLang="en-US" sz="1600" b="1">
            <a:latin typeface="New times roman"/>
          </a:endParaRPr>
        </a:p>
      </xdr:txBody>
    </xdr:sp>
    <xdr:clientData/>
  </xdr:twoCellAnchor>
  <xdr:twoCellAnchor>
    <xdr:from>
      <xdr:col>7</xdr:col>
      <xdr:colOff>181427</xdr:colOff>
      <xdr:row>10</xdr:row>
      <xdr:rowOff>1</xdr:rowOff>
    </xdr:from>
    <xdr:to>
      <xdr:col>10</xdr:col>
      <xdr:colOff>140193</xdr:colOff>
      <xdr:row>11</xdr:row>
      <xdr:rowOff>115456</xdr:rowOff>
    </xdr:to>
    <xdr:sp macro="" textlink="">
      <xdr:nvSpPr>
        <xdr:cNvPr id="30" name="TextBox 29">
          <a:extLst>
            <a:ext uri="{FF2B5EF4-FFF2-40B4-BE49-F238E27FC236}">
              <a16:creationId xmlns:a16="http://schemas.microsoft.com/office/drawing/2014/main" id="{7A36E058-6E51-5A1D-2B34-11E1D6836579}"/>
            </a:ext>
          </a:extLst>
        </xdr:cNvPr>
        <xdr:cNvSpPr txBox="1"/>
      </xdr:nvSpPr>
      <xdr:spPr>
        <a:xfrm rot="10800000" flipV="1">
          <a:off x="4799609" y="2309092"/>
          <a:ext cx="1937987" cy="346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b="1"/>
            <a:t>Total</a:t>
          </a:r>
          <a:r>
            <a:rPr kumimoji="1" lang="en-US" altLang="ja-JP" sz="1600" b="1" baseline="0"/>
            <a:t> Quantity Sold</a:t>
          </a:r>
          <a:endParaRPr kumimoji="1" lang="ja-JP" altLang="en-US" sz="1600" b="1"/>
        </a:p>
      </xdr:txBody>
    </xdr:sp>
    <xdr:clientData/>
  </xdr:twoCellAnchor>
  <xdr:twoCellAnchor>
    <xdr:from>
      <xdr:col>4</xdr:col>
      <xdr:colOff>247403</xdr:colOff>
      <xdr:row>11</xdr:row>
      <xdr:rowOff>115455</xdr:rowOff>
    </xdr:from>
    <xdr:to>
      <xdr:col>6</xdr:col>
      <xdr:colOff>503052</xdr:colOff>
      <xdr:row>12</xdr:row>
      <xdr:rowOff>173182</xdr:rowOff>
    </xdr:to>
    <xdr:sp macro="" textlink="'pivot sheet '!B11">
      <xdr:nvSpPr>
        <xdr:cNvPr id="37" name="TextBox 36">
          <a:extLst>
            <a:ext uri="{FF2B5EF4-FFF2-40B4-BE49-F238E27FC236}">
              <a16:creationId xmlns:a16="http://schemas.microsoft.com/office/drawing/2014/main" id="{D30F0BE3-7770-4EE0-EA88-19DE11E6F706}"/>
            </a:ext>
          </a:extLst>
        </xdr:cNvPr>
        <xdr:cNvSpPr txBox="1"/>
      </xdr:nvSpPr>
      <xdr:spPr>
        <a:xfrm>
          <a:off x="2886364" y="2655455"/>
          <a:ext cx="1575130" cy="2886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A60592-CBE4-48AA-88BA-393EBBCC1108}" type="TxLink">
            <a:rPr kumimoji="1" lang="en-US" altLang="en-US" sz="1400" b="1" i="0" u="none" strike="noStrike">
              <a:solidFill>
                <a:srgbClr val="FFC000"/>
              </a:solidFill>
              <a:latin typeface="Segoe UI Black" panose="020B0A02040204020203" pitchFamily="34" charset="0"/>
              <a:ea typeface="Segoe UI Black" panose="020B0A02040204020203" pitchFamily="34" charset="0"/>
            </a:rPr>
            <a:pPr/>
            <a:t>₹ 10,447.00</a:t>
          </a:fld>
          <a:endParaRPr kumimoji="1" lang="ja-JP" altLang="en-US" sz="1400" b="1">
            <a:solidFill>
              <a:srgbClr val="FFC000"/>
            </a:solidFill>
            <a:latin typeface="Segoe UI Black" panose="020B0A02040204020203" pitchFamily="34" charset="0"/>
          </a:endParaRPr>
        </a:p>
      </xdr:txBody>
    </xdr:sp>
    <xdr:clientData/>
  </xdr:twoCellAnchor>
  <xdr:twoCellAnchor>
    <xdr:from>
      <xdr:col>7</xdr:col>
      <xdr:colOff>643246</xdr:colOff>
      <xdr:row>11</xdr:row>
      <xdr:rowOff>98961</xdr:rowOff>
    </xdr:from>
    <xdr:to>
      <xdr:col>9</xdr:col>
      <xdr:colOff>387597</xdr:colOff>
      <xdr:row>13</xdr:row>
      <xdr:rowOff>24740</xdr:rowOff>
    </xdr:to>
    <xdr:sp macro="" textlink="'pivot sheet '!B12">
      <xdr:nvSpPr>
        <xdr:cNvPr id="38" name="TextBox 37">
          <a:extLst>
            <a:ext uri="{FF2B5EF4-FFF2-40B4-BE49-F238E27FC236}">
              <a16:creationId xmlns:a16="http://schemas.microsoft.com/office/drawing/2014/main" id="{ADF6073C-F475-D739-AD1B-2C40B400DCAE}"/>
            </a:ext>
          </a:extLst>
        </xdr:cNvPr>
        <xdr:cNvSpPr txBox="1"/>
      </xdr:nvSpPr>
      <xdr:spPr>
        <a:xfrm>
          <a:off x="5261428" y="2638961"/>
          <a:ext cx="1063831" cy="3875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8ED2DA-A3CF-4213-9D5C-A7747B9640B1}" type="TxLink">
            <a:rPr kumimoji="1" lang="en-US" altLang="en-US" sz="1800" b="1" i="0" u="none" strike="noStrike">
              <a:solidFill>
                <a:schemeClr val="accent6"/>
              </a:solidFill>
              <a:latin typeface="Segoe UI Black" panose="020B0A02040204020203" pitchFamily="34" charset="0"/>
              <a:ea typeface="Segoe UI Black" panose="020B0A02040204020203" pitchFamily="34" charset="0"/>
            </a:rPr>
            <a:pPr/>
            <a:t>660</a:t>
          </a:fld>
          <a:endParaRPr kumimoji="1" lang="ja-JP" altLang="en-US" sz="1800" b="1">
            <a:solidFill>
              <a:schemeClr val="accent6"/>
            </a:solidFill>
            <a:latin typeface="Segoe UI Black" panose="020B0A02040204020203" pitchFamily="34" charset="0"/>
          </a:endParaRPr>
        </a:p>
      </xdr:txBody>
    </xdr:sp>
    <xdr:clientData/>
  </xdr:twoCellAnchor>
  <xdr:twoCellAnchor>
    <xdr:from>
      <xdr:col>3</xdr:col>
      <xdr:colOff>305129</xdr:colOff>
      <xdr:row>13</xdr:row>
      <xdr:rowOff>90713</xdr:rowOff>
    </xdr:from>
    <xdr:to>
      <xdr:col>10</xdr:col>
      <xdr:colOff>338116</xdr:colOff>
      <xdr:row>21</xdr:row>
      <xdr:rowOff>57727</xdr:rowOff>
    </xdr:to>
    <xdr:sp macro="" textlink="">
      <xdr:nvSpPr>
        <xdr:cNvPr id="41" name="Rectangle: Rounded Corners 40">
          <a:extLst>
            <a:ext uri="{FF2B5EF4-FFF2-40B4-BE49-F238E27FC236}">
              <a16:creationId xmlns:a16="http://schemas.microsoft.com/office/drawing/2014/main" id="{C5C21E41-02C5-487D-AC8F-A3DA21C4C97E}"/>
            </a:ext>
          </a:extLst>
        </xdr:cNvPr>
        <xdr:cNvSpPr/>
      </xdr:nvSpPr>
      <xdr:spPr>
        <a:xfrm>
          <a:off x="2284350" y="3092531"/>
          <a:ext cx="4651169" cy="181428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412337</xdr:colOff>
      <xdr:row>10</xdr:row>
      <xdr:rowOff>41233</xdr:rowOff>
    </xdr:from>
    <xdr:to>
      <xdr:col>16</xdr:col>
      <xdr:colOff>107208</xdr:colOff>
      <xdr:row>15</xdr:row>
      <xdr:rowOff>65973</xdr:rowOff>
    </xdr:to>
    <xdr:sp macro="" textlink="">
      <xdr:nvSpPr>
        <xdr:cNvPr id="42" name="Rectangle: Rounded Corners 41">
          <a:extLst>
            <a:ext uri="{FF2B5EF4-FFF2-40B4-BE49-F238E27FC236}">
              <a16:creationId xmlns:a16="http://schemas.microsoft.com/office/drawing/2014/main" id="{FEF7BCD2-2AE6-4E86-AE63-EACBFD995C35}"/>
            </a:ext>
          </a:extLst>
        </xdr:cNvPr>
        <xdr:cNvSpPr/>
      </xdr:nvSpPr>
      <xdr:spPr>
        <a:xfrm>
          <a:off x="7009740" y="2350324"/>
          <a:ext cx="3653312" cy="117928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387597</xdr:colOff>
      <xdr:row>15</xdr:row>
      <xdr:rowOff>140196</xdr:rowOff>
    </xdr:from>
    <xdr:to>
      <xdr:col>16</xdr:col>
      <xdr:colOff>65973</xdr:colOff>
      <xdr:row>21</xdr:row>
      <xdr:rowOff>74221</xdr:rowOff>
    </xdr:to>
    <xdr:sp macro="" textlink="">
      <xdr:nvSpPr>
        <xdr:cNvPr id="43" name="Rectangle: Rounded Corners 42">
          <a:extLst>
            <a:ext uri="{FF2B5EF4-FFF2-40B4-BE49-F238E27FC236}">
              <a16:creationId xmlns:a16="http://schemas.microsoft.com/office/drawing/2014/main" id="{8505D9E4-AB3E-4407-A524-F73112EA3354}"/>
            </a:ext>
          </a:extLst>
        </xdr:cNvPr>
        <xdr:cNvSpPr/>
      </xdr:nvSpPr>
      <xdr:spPr>
        <a:xfrm>
          <a:off x="6985000" y="3603832"/>
          <a:ext cx="3636817" cy="13194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115455</xdr:colOff>
      <xdr:row>10</xdr:row>
      <xdr:rowOff>24740</xdr:rowOff>
    </xdr:from>
    <xdr:to>
      <xdr:col>23</xdr:col>
      <xdr:colOff>156688</xdr:colOff>
      <xdr:row>20</xdr:row>
      <xdr:rowOff>222662</xdr:rowOff>
    </xdr:to>
    <xdr:sp macro="" textlink="">
      <xdr:nvSpPr>
        <xdr:cNvPr id="44" name="Rectangle: Rounded Corners 43">
          <a:extLst>
            <a:ext uri="{FF2B5EF4-FFF2-40B4-BE49-F238E27FC236}">
              <a16:creationId xmlns:a16="http://schemas.microsoft.com/office/drawing/2014/main" id="{3A74193E-8847-4CA2-A680-48D0EBAE337C}"/>
            </a:ext>
          </a:extLst>
        </xdr:cNvPr>
        <xdr:cNvSpPr/>
      </xdr:nvSpPr>
      <xdr:spPr>
        <a:xfrm>
          <a:off x="10671299" y="2333831"/>
          <a:ext cx="4659415" cy="250701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503051</xdr:colOff>
      <xdr:row>10</xdr:row>
      <xdr:rowOff>115454</xdr:rowOff>
    </xdr:from>
    <xdr:to>
      <xdr:col>16</xdr:col>
      <xdr:colOff>49481</xdr:colOff>
      <xdr:row>15</xdr:row>
      <xdr:rowOff>32988</xdr:rowOff>
    </xdr:to>
    <xdr:graphicFrame macro="">
      <xdr:nvGraphicFramePr>
        <xdr:cNvPr id="45" name="Chart 44">
          <a:extLst>
            <a:ext uri="{FF2B5EF4-FFF2-40B4-BE49-F238E27FC236}">
              <a16:creationId xmlns:a16="http://schemas.microsoft.com/office/drawing/2014/main" id="{5212625D-12F4-45BB-A4DB-449A0E740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338116</xdr:colOff>
      <xdr:row>13</xdr:row>
      <xdr:rowOff>90713</xdr:rowOff>
    </xdr:from>
    <xdr:to>
      <xdr:col>10</xdr:col>
      <xdr:colOff>255649</xdr:colOff>
      <xdr:row>20</xdr:row>
      <xdr:rowOff>140195</xdr:rowOff>
    </xdr:to>
    <xdr:graphicFrame macro="">
      <xdr:nvGraphicFramePr>
        <xdr:cNvPr id="46" name="Chart 45">
          <a:extLst>
            <a:ext uri="{FF2B5EF4-FFF2-40B4-BE49-F238E27FC236}">
              <a16:creationId xmlns:a16="http://schemas.microsoft.com/office/drawing/2014/main" id="{EFCA2E32-7A89-4554-B239-D3B694274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461817</xdr:colOff>
      <xdr:row>15</xdr:row>
      <xdr:rowOff>214417</xdr:rowOff>
    </xdr:from>
    <xdr:to>
      <xdr:col>16</xdr:col>
      <xdr:colOff>57727</xdr:colOff>
      <xdr:row>20</xdr:row>
      <xdr:rowOff>148442</xdr:rowOff>
    </xdr:to>
    <xdr:graphicFrame macro="">
      <xdr:nvGraphicFramePr>
        <xdr:cNvPr id="47" name="Chart 46">
          <a:extLst>
            <a:ext uri="{FF2B5EF4-FFF2-40B4-BE49-F238E27FC236}">
              <a16:creationId xmlns:a16="http://schemas.microsoft.com/office/drawing/2014/main" id="{31B2778B-D7E2-4900-B41B-72A58B01F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239157</xdr:colOff>
      <xdr:row>10</xdr:row>
      <xdr:rowOff>148440</xdr:rowOff>
    </xdr:from>
    <xdr:to>
      <xdr:col>23</xdr:col>
      <xdr:colOff>8247</xdr:colOff>
      <xdr:row>20</xdr:row>
      <xdr:rowOff>156686</xdr:rowOff>
    </xdr:to>
    <xdr:graphicFrame macro="">
      <xdr:nvGraphicFramePr>
        <xdr:cNvPr id="48" name="Chart 47">
          <a:extLst>
            <a:ext uri="{FF2B5EF4-FFF2-40B4-BE49-F238E27FC236}">
              <a16:creationId xmlns:a16="http://schemas.microsoft.com/office/drawing/2014/main" id="{09D71063-416B-4F8B-A7CC-5AA2AA382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0</xdr:row>
      <xdr:rowOff>63500</xdr:rowOff>
    </xdr:from>
    <xdr:to>
      <xdr:col>1</xdr:col>
      <xdr:colOff>146050</xdr:colOff>
      <xdr:row>1</xdr:row>
      <xdr:rowOff>196850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F3D75A9-D0E1-4B1B-26AD-0E4CE683742A}"/>
            </a:ext>
          </a:extLst>
        </xdr:cNvPr>
        <xdr:cNvSpPr/>
      </xdr:nvSpPr>
      <xdr:spPr>
        <a:xfrm>
          <a:off x="228600" y="63500"/>
          <a:ext cx="1130300" cy="36195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buFontTx/>
            <a:buNone/>
          </a:pPr>
          <a:r>
            <a:rPr kumimoji="1" lang="en-US" altLang="ja-JP" sz="1600" baseline="0">
              <a:solidFill>
                <a:schemeClr val="bg1"/>
              </a:solidFill>
            </a:rPr>
            <a:t>   Back</a:t>
          </a:r>
        </a:p>
        <a:p>
          <a:pPr algn="l"/>
          <a:endParaRPr kumimoji="1" lang="ja-JP" altLang="en-US" sz="16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PC" refreshedDate="46266.742409027778" createdVersion="8" refreshedVersion="8" minRefreshableVersion="3" recordCount="200" xr:uid="{7F2C2196-B617-4155-8C02-18F8239EAC6C}">
  <cacheSource type="worksheet">
    <worksheetSource name="Table2"/>
  </cacheSource>
  <cacheFields count="10">
    <cacheField name=" Date" numFmtId="14">
      <sharedItems containsSemiMixedTypes="0" containsNonDate="0" containsDate="1" containsString="0" minDate="2014-01-06T00:00:00" maxDate="2017-12-31T00:00:00" count="159">
        <d v="2016-09-18T00:00:00"/>
        <d v="2017-12-11T00:00:00"/>
        <d v="2015-12-03T00:00:00"/>
        <d v="2017-12-28T00:00:00"/>
        <d v="2016-11-19T00:00:00"/>
        <d v="2017-07-23T00:00:00"/>
        <d v="2014-12-10T00:00:00"/>
        <d v="2017-12-30T00:00:00"/>
        <d v="2016-09-15T00:00:00"/>
        <d v="2015-04-04T00:00:00"/>
        <d v="2017-11-14T00:00:00"/>
        <d v="2014-03-03T00:00:00"/>
        <d v="2016-02-15T00:00:00"/>
        <d v="2016-11-22T00:00:00"/>
        <d v="2014-06-30T00:00:00"/>
        <d v="2017-12-24T00:00:00"/>
        <d v="2016-04-30T00:00:00"/>
        <d v="2016-05-19T00:00:00"/>
        <d v="2017-09-02T00:00:00"/>
        <d v="2016-07-14T00:00:00"/>
        <d v="2016-05-07T00:00:00"/>
        <d v="2017-12-03T00:00:00"/>
        <d v="2017-06-12T00:00:00"/>
        <d v="2015-11-08T00:00:00"/>
        <d v="2014-01-28T00:00:00"/>
        <d v="2017-04-14T00:00:00"/>
        <d v="2017-11-10T00:00:00"/>
        <d v="2015-11-05T00:00:00"/>
        <d v="2016-09-17T00:00:00"/>
        <d v="2016-01-15T00:00:00"/>
        <d v="2017-10-09T00:00:00"/>
        <d v="2015-09-14T00:00:00"/>
        <d v="2017-05-18T00:00:00"/>
        <d v="2016-03-29T00:00:00"/>
        <d v="2016-04-01T00:00:00"/>
        <d v="2014-11-03T00:00:00"/>
        <d v="2016-05-15T00:00:00"/>
        <d v="2016-11-10T00:00:00"/>
        <d v="2017-03-07T00:00:00"/>
        <d v="2014-11-04T00:00:00"/>
        <d v="2017-11-26T00:00:00"/>
        <d v="2016-12-26T00:00:00"/>
        <d v="2016-06-21T00:00:00"/>
        <d v="2016-09-04T00:00:00"/>
        <d v="2017-08-24T00:00:00"/>
        <d v="2016-04-04T00:00:00"/>
        <d v="2015-04-17T00:00:00"/>
        <d v="2014-06-29T00:00:00"/>
        <d v="2017-09-20T00:00:00"/>
        <d v="2016-01-22T00:00:00"/>
        <d v="2014-07-11T00:00:00"/>
        <d v="2016-12-14T00:00:00"/>
        <d v="2017-12-20T00:00:00"/>
        <d v="2016-12-02T00:00:00"/>
        <d v="2017-06-26T00:00:00"/>
        <d v="2014-05-23T00:00:00"/>
        <d v="2017-02-06T00:00:00"/>
        <d v="2016-11-11T00:00:00"/>
        <d v="2017-12-17T00:00:00"/>
        <d v="2016-04-19T00:00:00"/>
        <d v="2016-03-08T00:00:00"/>
        <d v="2014-09-23T00:00:00"/>
        <d v="2014-11-20T00:00:00"/>
        <d v="2015-01-05T00:00:00"/>
        <d v="2014-05-30T00:00:00"/>
        <d v="2015-11-19T00:00:00"/>
        <d v="2014-09-01T00:00:00"/>
        <d v="2014-12-30T00:00:00"/>
        <d v="2016-12-22T00:00:00"/>
        <d v="2015-09-07T00:00:00"/>
        <d v="2015-02-23T00:00:00"/>
        <d v="2016-10-30T00:00:00"/>
        <d v="2017-08-21T00:00:00"/>
        <d v="2016-08-26T00:00:00"/>
        <d v="2016-10-27T00:00:00"/>
        <d v="2016-05-31T00:00:00"/>
        <d v="2014-09-22T00:00:00"/>
        <d v="2014-12-22T00:00:00"/>
        <d v="2017-06-19T00:00:00"/>
        <d v="2016-05-02T00:00:00"/>
        <d v="2015-07-05T00:00:00"/>
        <d v="2015-07-24T00:00:00"/>
        <d v="2016-10-15T00:00:00"/>
        <d v="2017-11-12T00:00:00"/>
        <d v="2015-09-05T00:00:00"/>
        <d v="2014-06-01T00:00:00"/>
        <d v="2017-10-14T00:00:00"/>
        <d v="2015-11-27T00:00:00"/>
        <d v="2016-03-13T00:00:00"/>
        <d v="2017-01-21T00:00:00"/>
        <d v="2015-09-01T00:00:00"/>
        <d v="2014-05-17T00:00:00"/>
        <d v="2017-05-27T00:00:00"/>
        <d v="2015-12-13T00:00:00"/>
        <d v="2017-07-01T00:00:00"/>
        <d v="2015-09-24T00:00:00"/>
        <d v="2017-09-07T00:00:00"/>
        <d v="2017-11-24T00:00:00"/>
        <d v="2016-12-20T00:00:00"/>
        <d v="2016-11-05T00:00:00"/>
        <d v="2014-11-16T00:00:00"/>
        <d v="2015-06-09T00:00:00"/>
        <d v="2015-06-13T00:00:00"/>
        <d v="2017-01-06T00:00:00"/>
        <d v="2017-11-11T00:00:00"/>
        <d v="2014-09-12T00:00:00"/>
        <d v="2015-11-10T00:00:00"/>
        <d v="2014-09-10T00:00:00"/>
        <d v="2014-05-21T00:00:00"/>
        <d v="2014-09-07T00:00:00"/>
        <d v="2014-08-02T00:00:00"/>
        <d v="2017-08-17T00:00:00"/>
        <d v="2017-05-25T00:00:00"/>
        <d v="2014-01-06T00:00:00"/>
        <d v="2016-10-04T00:00:00"/>
        <d v="2017-06-21T00:00:00"/>
        <d v="2016-08-11T00:00:00"/>
        <d v="2016-01-31T00:00:00"/>
        <d v="2015-09-11T00:00:00"/>
        <d v="2017-07-31T00:00:00"/>
        <d v="2015-06-28T00:00:00"/>
        <d v="2017-06-30T00:00:00"/>
        <d v="2014-06-02T00:00:00"/>
        <d v="2017-12-16T00:00:00"/>
        <d v="2014-07-19T00:00:00"/>
        <d v="2015-09-06T00:00:00"/>
        <d v="2017-08-28T00:00:00"/>
        <d v="2017-07-08T00:00:00"/>
        <d v="2017-03-21T00:00:00"/>
        <d v="2016-12-08T00:00:00"/>
        <d v="2014-04-23T00:00:00"/>
        <d v="2016-09-11T00:00:00"/>
        <d v="2016-04-08T00:00:00"/>
        <d v="2017-12-26T00:00:00"/>
        <d v="2017-07-21T00:00:00"/>
        <d v="2017-10-21T00:00:00"/>
        <d v="2014-11-24T00:00:00"/>
        <d v="2017-04-07T00:00:00"/>
        <d v="2017-12-02T00:00:00"/>
        <d v="2017-09-24T00:00:00"/>
        <d v="2016-02-21T00:00:00"/>
        <d v="2017-04-30T00:00:00"/>
        <d v="2016-10-21T00:00:00"/>
        <d v="2017-11-06T00:00:00"/>
        <d v="2016-04-15T00:00:00"/>
        <d v="2016-04-22T00:00:00"/>
        <d v="2015-06-18T00:00:00"/>
        <d v="2017-10-19T00:00:00"/>
        <d v="2017-04-17T00:00:00"/>
        <d v="2017-10-07T00:00:00"/>
        <d v="2016-04-24T00:00:00"/>
        <d v="2014-12-21T00:00:00"/>
        <d v="2015-10-02T00:00:00"/>
        <d v="2015-09-22T00:00:00"/>
        <d v="2016-08-09T00:00:00"/>
        <d v="2015-08-21T00:00:00"/>
        <d v="2017-01-23T00:00:00"/>
        <d v="2014-09-17T00:00:00"/>
        <d v="2016-06-20T00:00:00"/>
      </sharedItems>
      <fieldGroup par="9"/>
    </cacheField>
    <cacheField name="Customer Name" numFmtId="0">
      <sharedItems/>
    </cacheField>
    <cacheField name="Region" numFmtId="0">
      <sharedItems count="4">
        <s v="West"/>
        <s v="East"/>
        <s v="South"/>
        <s v="North"/>
      </sharedItems>
    </cacheField>
    <cacheField name="Product" numFmtId="0">
      <sharedItems count="4">
        <s v="Mobile"/>
        <s v="Accessories"/>
        <s v="Tablet"/>
        <s v="Laptop"/>
      </sharedItems>
    </cacheField>
    <cacheField name="Sales" numFmtId="1">
      <sharedItems containsSemiMixedTypes="0" containsString="0" containsNumber="1" containsInteger="1" minValue="5412" maxValue="49907"/>
    </cacheField>
    <cacheField name="Profit" numFmtId="1">
      <sharedItems containsSemiMixedTypes="0" containsString="0" containsNumber="1" containsInteger="1" minValue="1041" maxValue="14900"/>
    </cacheField>
    <cacheField name="Quantity" numFmtId="1">
      <sharedItems containsSemiMixedTypes="0" containsString="0" containsNumber="1" containsInteger="1" minValue="5" maxValue="100"/>
    </cacheField>
    <cacheField name="Months ( Date)" numFmtId="0" databaseField="0">
      <fieldGroup base="0">
        <rangePr groupBy="months" startDate="2014-01-06T00:00:00" endDate="2017-12-31T00:00:00"/>
        <groupItems count="14">
          <s v="&lt;06-01-2014"/>
          <s v="1月"/>
          <s v="2月"/>
          <s v="3月"/>
          <s v="4月"/>
          <s v="5月"/>
          <s v="6月"/>
          <s v="7月"/>
          <s v="8月"/>
          <s v="9月"/>
          <s v="10月"/>
          <s v="11月"/>
          <s v="12月"/>
          <s v="&gt;31-12-2017"/>
        </groupItems>
      </fieldGroup>
    </cacheField>
    <cacheField name="Quarters ( Date)" numFmtId="0" databaseField="0">
      <fieldGroup base="0">
        <rangePr groupBy="quarters" startDate="2014-01-06T00:00:00" endDate="2017-12-31T00:00:00"/>
        <groupItems count="6">
          <s v="&lt;06-01-2014"/>
          <s v="第1四半期"/>
          <s v="第2四半期"/>
          <s v="第3四半期"/>
          <s v="第4四半期"/>
          <s v="&gt;31-12-2017"/>
        </groupItems>
      </fieldGroup>
    </cacheField>
    <cacheField name="Years ( Date)" numFmtId="0" databaseField="0">
      <fieldGroup base="0">
        <rangePr groupBy="years" startDate="2014-01-06T00:00:00" endDate="2017-12-31T00:00:00"/>
        <groupItems count="6">
          <s v="&lt;06-01-2014"/>
          <s v="2014年"/>
          <s v="2015年"/>
          <s v="2016年"/>
          <s v="2017年"/>
          <s v="&gt;31-12-2017"/>
        </groupItems>
      </fieldGroup>
    </cacheField>
  </cacheFields>
  <extLst>
    <ext xmlns:x14="http://schemas.microsoft.com/office/spreadsheetml/2009/9/main" uri="{725AE2AE-9491-48be-B2B4-4EB974FC3084}">
      <x14:pivotCacheDefinition pivotCacheId="8372183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s v="Henry MacAllister"/>
    <x v="0"/>
    <x v="0"/>
    <n v="14304"/>
    <n v="9492"/>
    <n v="40"/>
  </r>
  <r>
    <x v="1"/>
    <s v="Mike Vittorini"/>
    <x v="1"/>
    <x v="1"/>
    <n v="34609"/>
    <n v="1266"/>
    <n v="95"/>
  </r>
  <r>
    <x v="2"/>
    <s v="Mark Packer"/>
    <x v="2"/>
    <x v="0"/>
    <n v="41614"/>
    <n v="11392"/>
    <n v="100"/>
  </r>
  <r>
    <x v="3"/>
    <s v="Jennifer Ferguson"/>
    <x v="2"/>
    <x v="0"/>
    <n v="6901"/>
    <n v="7475"/>
    <n v="77"/>
  </r>
  <r>
    <x v="4"/>
    <s v="Doug Jacobs"/>
    <x v="3"/>
    <x v="2"/>
    <n v="30959"/>
    <n v="4672"/>
    <n v="38"/>
  </r>
  <r>
    <x v="5"/>
    <s v="Christine Phan"/>
    <x v="2"/>
    <x v="0"/>
    <n v="9834"/>
    <n v="9956"/>
    <n v="64"/>
  </r>
  <r>
    <x v="6"/>
    <s v="Sally Matthias"/>
    <x v="2"/>
    <x v="0"/>
    <n v="22140"/>
    <n v="1563"/>
    <n v="90"/>
  </r>
  <r>
    <x v="7"/>
    <s v="Patrick O'Donnell"/>
    <x v="0"/>
    <x v="3"/>
    <n v="44406"/>
    <n v="6192"/>
    <n v="43"/>
  </r>
  <r>
    <x v="8"/>
    <s v="Adam Hart"/>
    <x v="1"/>
    <x v="1"/>
    <n v="19660"/>
    <n v="2381"/>
    <n v="6"/>
  </r>
  <r>
    <x v="9"/>
    <s v="Nicole Fjeld"/>
    <x v="0"/>
    <x v="0"/>
    <n v="46128"/>
    <n v="7020"/>
    <n v="40"/>
  </r>
  <r>
    <x v="9"/>
    <s v="Nicole Fjeld"/>
    <x v="2"/>
    <x v="2"/>
    <n v="8435"/>
    <n v="4099"/>
    <n v="65"/>
  </r>
  <r>
    <x v="10"/>
    <s v="Frank Olsen"/>
    <x v="0"/>
    <x v="3"/>
    <n v="6367"/>
    <n v="9781"/>
    <n v="93"/>
  </r>
  <r>
    <x v="11"/>
    <s v="Anne Pryor"/>
    <x v="3"/>
    <x v="1"/>
    <n v="18256"/>
    <n v="12197"/>
    <n v="36"/>
  </r>
  <r>
    <x v="11"/>
    <s v="Anne Pryor"/>
    <x v="0"/>
    <x v="3"/>
    <n v="49350"/>
    <n v="1946"/>
    <n v="61"/>
  </r>
  <r>
    <x v="12"/>
    <s v="Patrick Gardner"/>
    <x v="2"/>
    <x v="3"/>
    <n v="8740"/>
    <n v="7974"/>
    <n v="91"/>
  </r>
  <r>
    <x v="13"/>
    <s v="Todd Boyes"/>
    <x v="0"/>
    <x v="1"/>
    <n v="34870"/>
    <n v="6182"/>
    <n v="68"/>
  </r>
  <r>
    <x v="14"/>
    <s v="Helen Abelman"/>
    <x v="0"/>
    <x v="3"/>
    <n v="29239"/>
    <n v="9580"/>
    <n v="35"/>
  </r>
  <r>
    <x v="15"/>
    <s v="Andy Reiter"/>
    <x v="0"/>
    <x v="0"/>
    <n v="22686"/>
    <n v="7777"/>
    <n v="60"/>
  </r>
  <r>
    <x v="16"/>
    <s v="John Lee"/>
    <x v="0"/>
    <x v="3"/>
    <n v="22427"/>
    <n v="9938"/>
    <n v="16"/>
  </r>
  <r>
    <x v="17"/>
    <s v="Bradley Nguyen"/>
    <x v="1"/>
    <x v="0"/>
    <n v="45965"/>
    <n v="12485"/>
    <n v="14"/>
  </r>
  <r>
    <x v="18"/>
    <s v="Ann Chong"/>
    <x v="3"/>
    <x v="3"/>
    <n v="17715"/>
    <n v="10349"/>
    <n v="69"/>
  </r>
  <r>
    <x v="19"/>
    <s v="Dan Reichenbach"/>
    <x v="0"/>
    <x v="2"/>
    <n v="26364"/>
    <n v="5972"/>
    <n v="100"/>
  </r>
  <r>
    <x v="20"/>
    <s v="Caroline Jumper"/>
    <x v="3"/>
    <x v="0"/>
    <n v="19981"/>
    <n v="11311"/>
    <n v="35"/>
  </r>
  <r>
    <x v="21"/>
    <s v="Chuck Sachs"/>
    <x v="1"/>
    <x v="2"/>
    <n v="41405"/>
    <n v="11606"/>
    <n v="75"/>
  </r>
  <r>
    <x v="21"/>
    <s v="Chuck Sachs"/>
    <x v="0"/>
    <x v="0"/>
    <n v="26499"/>
    <n v="5265"/>
    <n v="75"/>
  </r>
  <r>
    <x v="22"/>
    <s v="Sarah Bern"/>
    <x v="2"/>
    <x v="1"/>
    <n v="42783"/>
    <n v="4500"/>
    <n v="99"/>
  </r>
  <r>
    <x v="23"/>
    <s v="Amy Cox"/>
    <x v="3"/>
    <x v="1"/>
    <n v="18600"/>
    <n v="9850"/>
    <n v="80"/>
  </r>
  <r>
    <x v="24"/>
    <s v="Jasper Cacioppo"/>
    <x v="3"/>
    <x v="3"/>
    <n v="25050"/>
    <n v="2825"/>
    <n v="55"/>
  </r>
  <r>
    <x v="25"/>
    <s v="Christine Sundaresam"/>
    <x v="3"/>
    <x v="0"/>
    <n v="7031"/>
    <n v="12164"/>
    <n v="15"/>
  </r>
  <r>
    <x v="26"/>
    <s v="Frank Hawley"/>
    <x v="1"/>
    <x v="3"/>
    <n v="10978"/>
    <n v="8718"/>
    <n v="36"/>
  </r>
  <r>
    <x v="27"/>
    <s v="Grant Thornton"/>
    <x v="0"/>
    <x v="3"/>
    <n v="37557"/>
    <n v="7983"/>
    <n v="95"/>
  </r>
  <r>
    <x v="28"/>
    <s v="Luke Weiss"/>
    <x v="3"/>
    <x v="1"/>
    <n v="25209"/>
    <n v="8296"/>
    <n v="18"/>
  </r>
  <r>
    <x v="29"/>
    <s v="William Brown"/>
    <x v="1"/>
    <x v="0"/>
    <n v="33561"/>
    <n v="5358"/>
    <n v="48"/>
  </r>
  <r>
    <x v="30"/>
    <s v="Harry Greene"/>
    <x v="1"/>
    <x v="1"/>
    <n v="44779"/>
    <n v="2787"/>
    <n v="80"/>
  </r>
  <r>
    <x v="30"/>
    <s v="Harry Greene"/>
    <x v="2"/>
    <x v="2"/>
    <n v="6123"/>
    <n v="6064"/>
    <n v="54"/>
  </r>
  <r>
    <x v="31"/>
    <s v="Craig Carroll"/>
    <x v="2"/>
    <x v="3"/>
    <n v="6713"/>
    <n v="8284"/>
    <n v="70"/>
  </r>
  <r>
    <x v="32"/>
    <s v="Toby Swindell"/>
    <x v="2"/>
    <x v="0"/>
    <n v="45509"/>
    <n v="6381"/>
    <n v="16"/>
  </r>
  <r>
    <x v="33"/>
    <s v="Janet Martin"/>
    <x v="2"/>
    <x v="1"/>
    <n v="9740"/>
    <n v="3604"/>
    <n v="99"/>
  </r>
  <r>
    <x v="33"/>
    <s v="Janet Martin"/>
    <x v="0"/>
    <x v="2"/>
    <n v="17416"/>
    <n v="5775"/>
    <n v="39"/>
  </r>
  <r>
    <x v="34"/>
    <s v="Thomas Boland"/>
    <x v="2"/>
    <x v="2"/>
    <n v="18808"/>
    <n v="3279"/>
    <n v="11"/>
  </r>
  <r>
    <x v="35"/>
    <s v="Speros Goranitis"/>
    <x v="2"/>
    <x v="0"/>
    <n v="47675"/>
    <n v="12629"/>
    <n v="45"/>
  </r>
  <r>
    <x v="35"/>
    <s v="Speros Goranitis"/>
    <x v="1"/>
    <x v="3"/>
    <n v="7914"/>
    <n v="7553"/>
    <n v="47"/>
  </r>
  <r>
    <x v="36"/>
    <s v="Thomas Thornton"/>
    <x v="0"/>
    <x v="3"/>
    <n v="41819"/>
    <n v="14292"/>
    <n v="81"/>
  </r>
  <r>
    <x v="37"/>
    <s v="Sally Hughsby"/>
    <x v="0"/>
    <x v="2"/>
    <n v="7480"/>
    <n v="3010"/>
    <n v="66"/>
  </r>
  <r>
    <x v="37"/>
    <s v="Sally Hughsby"/>
    <x v="0"/>
    <x v="3"/>
    <n v="7584"/>
    <n v="13416"/>
    <n v="5"/>
  </r>
  <r>
    <x v="38"/>
    <s v="Shahid Hopkins"/>
    <x v="3"/>
    <x v="1"/>
    <n v="40992"/>
    <n v="2089"/>
    <n v="20"/>
  </r>
  <r>
    <x v="39"/>
    <s v="Sam Zeldin"/>
    <x v="2"/>
    <x v="1"/>
    <n v="12824"/>
    <n v="10093"/>
    <n v="16"/>
  </r>
  <r>
    <x v="40"/>
    <s v="Frank Gastineau"/>
    <x v="2"/>
    <x v="2"/>
    <n v="14677"/>
    <n v="10027"/>
    <n v="78"/>
  </r>
  <r>
    <x v="34"/>
    <s v="Frank Preis"/>
    <x v="0"/>
    <x v="0"/>
    <n v="45384"/>
    <n v="2494"/>
    <n v="83"/>
  </r>
  <r>
    <x v="14"/>
    <s v="Cari Schnelling"/>
    <x v="2"/>
    <x v="1"/>
    <n v="34891"/>
    <n v="1041"/>
    <n v="43"/>
  </r>
  <r>
    <x v="41"/>
    <s v="Anthony Johnson"/>
    <x v="0"/>
    <x v="0"/>
    <n v="32236"/>
    <n v="13050"/>
    <n v="29"/>
  </r>
  <r>
    <x v="42"/>
    <s v="Adam Shillingsburg"/>
    <x v="1"/>
    <x v="0"/>
    <n v="20086"/>
    <n v="9180"/>
    <n v="25"/>
  </r>
  <r>
    <x v="42"/>
    <s v="Adam Shillingsburg"/>
    <x v="0"/>
    <x v="1"/>
    <n v="46544"/>
    <n v="3246"/>
    <n v="47"/>
  </r>
  <r>
    <x v="43"/>
    <s v="Christina VanderZanden"/>
    <x v="2"/>
    <x v="1"/>
    <n v="46656"/>
    <n v="7761"/>
    <n v="91"/>
  </r>
  <r>
    <x v="44"/>
    <s v="Alan Haines"/>
    <x v="3"/>
    <x v="0"/>
    <n v="10720"/>
    <n v="14900"/>
    <n v="36"/>
  </r>
  <r>
    <x v="44"/>
    <s v="Alan Haines"/>
    <x v="3"/>
    <x v="3"/>
    <n v="38270"/>
    <n v="8624"/>
    <n v="54"/>
  </r>
  <r>
    <x v="45"/>
    <s v="Evan Henry"/>
    <x v="0"/>
    <x v="3"/>
    <n v="45820"/>
    <n v="5791"/>
    <n v="97"/>
  </r>
  <r>
    <x v="46"/>
    <s v="Jessica Myrick"/>
    <x v="0"/>
    <x v="3"/>
    <n v="13562"/>
    <n v="1215"/>
    <n v="58"/>
  </r>
  <r>
    <x v="2"/>
    <s v="Bill Stewart"/>
    <x v="0"/>
    <x v="0"/>
    <n v="29056"/>
    <n v="11275"/>
    <n v="39"/>
  </r>
  <r>
    <x v="47"/>
    <s v="Jim Karlsson"/>
    <x v="0"/>
    <x v="1"/>
    <n v="35746"/>
    <n v="13406"/>
    <n v="70"/>
  </r>
  <r>
    <x v="48"/>
    <s v="Seth Vernon"/>
    <x v="3"/>
    <x v="3"/>
    <n v="20537"/>
    <n v="8782"/>
    <n v="37"/>
  </r>
  <r>
    <x v="49"/>
    <s v="Toby Braunhardt"/>
    <x v="2"/>
    <x v="3"/>
    <n v="28193"/>
    <n v="14749"/>
    <n v="76"/>
  </r>
  <r>
    <x v="50"/>
    <s v="Mark Hamilton"/>
    <x v="0"/>
    <x v="1"/>
    <n v="24395"/>
    <n v="6540"/>
    <n v="74"/>
  </r>
  <r>
    <x v="51"/>
    <s v="Pete Kriz"/>
    <x v="1"/>
    <x v="2"/>
    <n v="46898"/>
    <n v="7654"/>
    <n v="7"/>
  </r>
  <r>
    <x v="52"/>
    <s v="David Kendrick"/>
    <x v="3"/>
    <x v="0"/>
    <n v="16260"/>
    <n v="4456"/>
    <n v="30"/>
  </r>
  <r>
    <x v="53"/>
    <s v="Jamie Frazer"/>
    <x v="0"/>
    <x v="2"/>
    <n v="8140"/>
    <n v="9466"/>
    <n v="93"/>
  </r>
  <r>
    <x v="53"/>
    <s v="Jamie Frazer"/>
    <x v="2"/>
    <x v="1"/>
    <n v="9895"/>
    <n v="14863"/>
    <n v="87"/>
  </r>
  <r>
    <x v="1"/>
    <s v="Allen Armold"/>
    <x v="3"/>
    <x v="3"/>
    <n v="28308"/>
    <n v="2603"/>
    <n v="72"/>
  </r>
  <r>
    <x v="54"/>
    <s v="Scott Cohen"/>
    <x v="0"/>
    <x v="1"/>
    <n v="41180"/>
    <n v="1756"/>
    <n v="47"/>
  </r>
  <r>
    <x v="55"/>
    <s v="Greg Tran"/>
    <x v="2"/>
    <x v="0"/>
    <n v="7776"/>
    <n v="7307"/>
    <n v="99"/>
  </r>
  <r>
    <x v="56"/>
    <s v="Sibella Parks"/>
    <x v="2"/>
    <x v="2"/>
    <n v="23761"/>
    <n v="2007"/>
    <n v="31"/>
  </r>
  <r>
    <x v="57"/>
    <s v="Edward Becker"/>
    <x v="2"/>
    <x v="1"/>
    <n v="17142"/>
    <n v="14871"/>
    <n v="11"/>
  </r>
  <r>
    <x v="57"/>
    <s v="Edward Becker"/>
    <x v="1"/>
    <x v="1"/>
    <n v="33569"/>
    <n v="7381"/>
    <n v="54"/>
  </r>
  <r>
    <x v="58"/>
    <s v="Annie Thurman"/>
    <x v="2"/>
    <x v="2"/>
    <n v="19510"/>
    <n v="1593"/>
    <n v="28"/>
  </r>
  <r>
    <x v="59"/>
    <s v="Kunst Miller"/>
    <x v="3"/>
    <x v="2"/>
    <n v="11532"/>
    <n v="6209"/>
    <n v="57"/>
  </r>
  <r>
    <x v="60"/>
    <s v="Giulietta Baptist"/>
    <x v="3"/>
    <x v="0"/>
    <n v="20164"/>
    <n v="10379"/>
    <n v="92"/>
  </r>
  <r>
    <x v="61"/>
    <s v="Julie Prescott"/>
    <x v="1"/>
    <x v="0"/>
    <n v="24703"/>
    <n v="10195"/>
    <n v="43"/>
  </r>
  <r>
    <x v="62"/>
    <s v="Katharine Harms"/>
    <x v="3"/>
    <x v="3"/>
    <n v="43009"/>
    <n v="14845"/>
    <n v="72"/>
  </r>
  <r>
    <x v="63"/>
    <s v="Brooke Gillingham"/>
    <x v="3"/>
    <x v="0"/>
    <n v="35048"/>
    <n v="2035"/>
    <n v="7"/>
  </r>
  <r>
    <x v="64"/>
    <s v="James Galang"/>
    <x v="0"/>
    <x v="3"/>
    <n v="36202"/>
    <n v="14669"/>
    <n v="46"/>
  </r>
  <r>
    <x v="5"/>
    <s v="Nathan Mautz"/>
    <x v="3"/>
    <x v="2"/>
    <n v="6784"/>
    <n v="13916"/>
    <n v="43"/>
  </r>
  <r>
    <x v="65"/>
    <s v="Katherine Ducich"/>
    <x v="1"/>
    <x v="1"/>
    <n v="34374"/>
    <n v="9786"/>
    <n v="55"/>
  </r>
  <r>
    <x v="13"/>
    <s v="Cathy Armstrong"/>
    <x v="2"/>
    <x v="1"/>
    <n v="41582"/>
    <n v="1063"/>
    <n v="43"/>
  </r>
  <r>
    <x v="66"/>
    <s v="Lena Hernandez"/>
    <x v="1"/>
    <x v="0"/>
    <n v="27286"/>
    <n v="13938"/>
    <n v="45"/>
  </r>
  <r>
    <x v="67"/>
    <s v="Astrea Jones"/>
    <x v="0"/>
    <x v="3"/>
    <n v="25730"/>
    <n v="6617"/>
    <n v="87"/>
  </r>
  <r>
    <x v="68"/>
    <s v="Lena Creighton"/>
    <x v="3"/>
    <x v="3"/>
    <n v="10762"/>
    <n v="7809"/>
    <n v="56"/>
  </r>
  <r>
    <x v="69"/>
    <s v="Andy Gerbode"/>
    <x v="1"/>
    <x v="3"/>
    <n v="13857"/>
    <n v="10826"/>
    <n v="10"/>
  </r>
  <r>
    <x v="70"/>
    <s v="Lindsay Castell"/>
    <x v="2"/>
    <x v="0"/>
    <n v="47267"/>
    <n v="5703"/>
    <n v="13"/>
  </r>
  <r>
    <x v="71"/>
    <s v="Edward Hooks"/>
    <x v="3"/>
    <x v="1"/>
    <n v="11213"/>
    <n v="10400"/>
    <n v="68"/>
  </r>
  <r>
    <x v="37"/>
    <s v="Scott Williamson"/>
    <x v="1"/>
    <x v="3"/>
    <n v="8958"/>
    <n v="10788"/>
    <n v="84"/>
  </r>
  <r>
    <x v="72"/>
    <s v="Pete Kriz"/>
    <x v="0"/>
    <x v="0"/>
    <n v="12310"/>
    <n v="6564"/>
    <n v="49"/>
  </r>
  <r>
    <x v="72"/>
    <s v="Pete Kriz"/>
    <x v="0"/>
    <x v="1"/>
    <n v="43355"/>
    <n v="13670"/>
    <n v="46"/>
  </r>
  <r>
    <x v="73"/>
    <s v="Ken Dana"/>
    <x v="1"/>
    <x v="0"/>
    <n v="49330"/>
    <n v="12794"/>
    <n v="70"/>
  </r>
  <r>
    <x v="74"/>
    <s v="Ben Wallace"/>
    <x v="0"/>
    <x v="2"/>
    <n v="30528"/>
    <n v="1056"/>
    <n v="39"/>
  </r>
  <r>
    <x v="75"/>
    <s v="Neoma Murray"/>
    <x v="3"/>
    <x v="2"/>
    <n v="28826"/>
    <n v="7617"/>
    <n v="42"/>
  </r>
  <r>
    <x v="76"/>
    <s v="Adam Shillingsburg"/>
    <x v="3"/>
    <x v="0"/>
    <n v="10728"/>
    <n v="11789"/>
    <n v="57"/>
  </r>
  <r>
    <x v="77"/>
    <s v="Tamara Willingham"/>
    <x v="2"/>
    <x v="1"/>
    <n v="5812"/>
    <n v="14214"/>
    <n v="87"/>
  </r>
  <r>
    <x v="78"/>
    <s v="Jim Sink"/>
    <x v="0"/>
    <x v="3"/>
    <n v="32186"/>
    <n v="7458"/>
    <n v="91"/>
  </r>
  <r>
    <x v="79"/>
    <s v="Edward Hooks"/>
    <x v="2"/>
    <x v="0"/>
    <n v="37491"/>
    <n v="6518"/>
    <n v="68"/>
  </r>
  <r>
    <x v="80"/>
    <s v="Corey Roper"/>
    <x v="0"/>
    <x v="3"/>
    <n v="37212"/>
    <n v="3277"/>
    <n v="52"/>
  </r>
  <r>
    <x v="81"/>
    <s v="Ed Ludwig"/>
    <x v="2"/>
    <x v="3"/>
    <n v="38719"/>
    <n v="3872"/>
    <n v="92"/>
  </r>
  <r>
    <x v="82"/>
    <s v="Thomas Brumley"/>
    <x v="2"/>
    <x v="2"/>
    <n v="12488"/>
    <n v="10211"/>
    <n v="55"/>
  </r>
  <r>
    <x v="83"/>
    <s v="Maria Etezadi"/>
    <x v="1"/>
    <x v="3"/>
    <n v="14337"/>
    <n v="1668"/>
    <n v="38"/>
  </r>
  <r>
    <x v="84"/>
    <s v="Steve Nguyen"/>
    <x v="0"/>
    <x v="0"/>
    <n v="37877"/>
    <n v="14454"/>
    <n v="60"/>
  </r>
  <r>
    <x v="85"/>
    <s v="Adam Bellavance"/>
    <x v="3"/>
    <x v="3"/>
    <n v="38387"/>
    <n v="1586"/>
    <n v="96"/>
  </r>
  <r>
    <x v="86"/>
    <s v="Cynthia Delaney"/>
    <x v="3"/>
    <x v="1"/>
    <n v="21681"/>
    <n v="8649"/>
    <n v="67"/>
  </r>
  <r>
    <x v="87"/>
    <s v="Mick Hernandez"/>
    <x v="2"/>
    <x v="2"/>
    <n v="43876"/>
    <n v="6089"/>
    <n v="10"/>
  </r>
  <r>
    <x v="22"/>
    <s v="Mick Hernandez"/>
    <x v="1"/>
    <x v="0"/>
    <n v="11162"/>
    <n v="13404"/>
    <n v="19"/>
  </r>
  <r>
    <x v="36"/>
    <s v="Daniel Raglin"/>
    <x v="1"/>
    <x v="0"/>
    <n v="15521"/>
    <n v="2390"/>
    <n v="48"/>
  </r>
  <r>
    <x v="88"/>
    <s v="Victor Preis"/>
    <x v="1"/>
    <x v="1"/>
    <n v="40287"/>
    <n v="6166"/>
    <n v="94"/>
  </r>
  <r>
    <x v="82"/>
    <s v="Pete Armstrong"/>
    <x v="1"/>
    <x v="0"/>
    <n v="21288"/>
    <n v="8540"/>
    <n v="53"/>
  </r>
  <r>
    <x v="89"/>
    <s v="Dianna Wilson"/>
    <x v="2"/>
    <x v="3"/>
    <n v="8884"/>
    <n v="6686"/>
    <n v="30"/>
  </r>
  <r>
    <x v="89"/>
    <s v="Dean percer"/>
    <x v="0"/>
    <x v="1"/>
    <n v="34915"/>
    <n v="2727"/>
    <n v="97"/>
  </r>
  <r>
    <x v="90"/>
    <s v="Karen Ferguson"/>
    <x v="3"/>
    <x v="0"/>
    <n v="49660"/>
    <n v="10267"/>
    <n v="48"/>
  </r>
  <r>
    <x v="91"/>
    <s v="Deanra Eno"/>
    <x v="2"/>
    <x v="0"/>
    <n v="27305"/>
    <n v="8620"/>
    <n v="32"/>
  </r>
  <r>
    <x v="92"/>
    <s v="Robert Dilbeck"/>
    <x v="3"/>
    <x v="2"/>
    <n v="25740"/>
    <n v="2761"/>
    <n v="53"/>
  </r>
  <r>
    <x v="93"/>
    <s v="Frank Merwin"/>
    <x v="3"/>
    <x v="0"/>
    <n v="6428"/>
    <n v="2769"/>
    <n v="53"/>
  </r>
  <r>
    <x v="94"/>
    <s v="Alejandro Ballentine"/>
    <x v="0"/>
    <x v="0"/>
    <n v="5412"/>
    <n v="2432"/>
    <n v="77"/>
  </r>
  <r>
    <x v="95"/>
    <s v="Michelle Arnett"/>
    <x v="1"/>
    <x v="3"/>
    <n v="44228"/>
    <n v="8312"/>
    <n v="54"/>
  </r>
  <r>
    <x v="96"/>
    <s v="Steven Roelle"/>
    <x v="3"/>
    <x v="1"/>
    <n v="37084"/>
    <n v="1449"/>
    <n v="75"/>
  </r>
  <r>
    <x v="97"/>
    <s v="Anthony Garverick"/>
    <x v="3"/>
    <x v="3"/>
    <n v="27415"/>
    <n v="4981"/>
    <n v="14"/>
  </r>
  <r>
    <x v="98"/>
    <s v="Penelope Sewall"/>
    <x v="2"/>
    <x v="2"/>
    <n v="12099"/>
    <n v="6382"/>
    <n v="44"/>
  </r>
  <r>
    <x v="99"/>
    <s v="Penelope Sewall"/>
    <x v="2"/>
    <x v="2"/>
    <n v="32455"/>
    <n v="2304"/>
    <n v="14"/>
  </r>
  <r>
    <x v="100"/>
    <s v="Dennis Pardue"/>
    <x v="1"/>
    <x v="3"/>
    <n v="25283"/>
    <n v="8653"/>
    <n v="33"/>
  </r>
  <r>
    <x v="101"/>
    <s v="Catherine Glotzbach"/>
    <x v="2"/>
    <x v="0"/>
    <n v="22860"/>
    <n v="7634"/>
    <n v="72"/>
  </r>
  <r>
    <x v="102"/>
    <s v="Tom Ashbrook"/>
    <x v="0"/>
    <x v="1"/>
    <n v="38231"/>
    <n v="7849"/>
    <n v="54"/>
  </r>
  <r>
    <x v="102"/>
    <s v="Philisse Overcash"/>
    <x v="2"/>
    <x v="2"/>
    <n v="44518"/>
    <n v="9522"/>
    <n v="12"/>
  </r>
  <r>
    <x v="103"/>
    <s v="Dianna Arnett"/>
    <x v="3"/>
    <x v="0"/>
    <n v="33643"/>
    <n v="9310"/>
    <n v="7"/>
  </r>
  <r>
    <x v="104"/>
    <s v="Frank Gastineau"/>
    <x v="3"/>
    <x v="2"/>
    <n v="37667"/>
    <n v="12444"/>
    <n v="73"/>
  </r>
  <r>
    <x v="105"/>
    <s v="Rick Bensley"/>
    <x v="1"/>
    <x v="0"/>
    <n v="32396"/>
    <n v="3764"/>
    <n v="30"/>
  </r>
  <r>
    <x v="106"/>
    <s v="Nick Zandusky"/>
    <x v="3"/>
    <x v="0"/>
    <n v="15406"/>
    <n v="7309"/>
    <n v="16"/>
  </r>
  <r>
    <x v="107"/>
    <s v="Adrian Hane"/>
    <x v="0"/>
    <x v="1"/>
    <n v="15545"/>
    <n v="6500"/>
    <n v="12"/>
  </r>
  <r>
    <x v="108"/>
    <s v="Shirley Schmidt"/>
    <x v="1"/>
    <x v="1"/>
    <n v="29320"/>
    <n v="8091"/>
    <n v="46"/>
  </r>
  <r>
    <x v="109"/>
    <s v="Shirley Schmidt"/>
    <x v="0"/>
    <x v="1"/>
    <n v="30962"/>
    <n v="12729"/>
    <n v="67"/>
  </r>
  <r>
    <x v="110"/>
    <s v="Mick Hernandez"/>
    <x v="2"/>
    <x v="3"/>
    <n v="27837"/>
    <n v="13603"/>
    <n v="81"/>
  </r>
  <r>
    <x v="111"/>
    <s v="Maria Etezadi"/>
    <x v="1"/>
    <x v="1"/>
    <n v="9475"/>
    <n v="5154"/>
    <n v="72"/>
  </r>
  <r>
    <x v="81"/>
    <s v="Christopher Schild"/>
    <x v="2"/>
    <x v="1"/>
    <n v="49907"/>
    <n v="13288"/>
    <n v="17"/>
  </r>
  <r>
    <x v="112"/>
    <s v="Daniel Raglin"/>
    <x v="2"/>
    <x v="1"/>
    <n v="27675"/>
    <n v="10261"/>
    <n v="43"/>
  </r>
  <r>
    <x v="113"/>
    <s v="Eugene Hildebrand"/>
    <x v="3"/>
    <x v="2"/>
    <n v="39629"/>
    <n v="7259"/>
    <n v="57"/>
  </r>
  <r>
    <x v="3"/>
    <s v="Eugene Hildebrand"/>
    <x v="1"/>
    <x v="1"/>
    <n v="45588"/>
    <n v="2799"/>
    <n v="39"/>
  </r>
  <r>
    <x v="114"/>
    <s v="Michelle Tran"/>
    <x v="1"/>
    <x v="1"/>
    <n v="49478"/>
    <n v="7730"/>
    <n v="14"/>
  </r>
  <r>
    <x v="115"/>
    <s v="Michelle Tran"/>
    <x v="0"/>
    <x v="3"/>
    <n v="34355"/>
    <n v="1577"/>
    <n v="40"/>
  </r>
  <r>
    <x v="115"/>
    <s v="Ben Ferrer"/>
    <x v="0"/>
    <x v="1"/>
    <n v="45371"/>
    <n v="10638"/>
    <n v="44"/>
  </r>
  <r>
    <x v="116"/>
    <s v="Skye Norling"/>
    <x v="2"/>
    <x v="3"/>
    <n v="25659"/>
    <n v="8478"/>
    <n v="23"/>
  </r>
  <r>
    <x v="116"/>
    <s v="Laurel Beltran"/>
    <x v="0"/>
    <x v="2"/>
    <n v="14511"/>
    <n v="2409"/>
    <n v="77"/>
  </r>
  <r>
    <x v="117"/>
    <s v="Laurel Beltran"/>
    <x v="2"/>
    <x v="2"/>
    <n v="14060"/>
    <n v="2170"/>
    <n v="54"/>
  </r>
  <r>
    <x v="118"/>
    <s v="Mark Packer"/>
    <x v="3"/>
    <x v="3"/>
    <n v="38036"/>
    <n v="9941"/>
    <n v="64"/>
  </r>
  <r>
    <x v="119"/>
    <s v="Victor Preis"/>
    <x v="0"/>
    <x v="1"/>
    <n v="7036"/>
    <n v="12634"/>
    <n v="88"/>
  </r>
  <r>
    <x v="119"/>
    <s v="Christine Kargatis"/>
    <x v="2"/>
    <x v="2"/>
    <n v="47517"/>
    <n v="13813"/>
    <n v="13"/>
  </r>
  <r>
    <x v="120"/>
    <s v="Nora Pelletier"/>
    <x v="2"/>
    <x v="3"/>
    <n v="48284"/>
    <n v="7339"/>
    <n v="19"/>
  </r>
  <r>
    <x v="121"/>
    <s v="Patrick Bzostek"/>
    <x v="2"/>
    <x v="2"/>
    <n v="10447"/>
    <n v="8094"/>
    <n v="41"/>
  </r>
  <r>
    <x v="122"/>
    <s v="Ross DeVincentis"/>
    <x v="0"/>
    <x v="2"/>
    <n v="49282"/>
    <n v="5018"/>
    <n v="20"/>
  </r>
  <r>
    <x v="4"/>
    <s v="Eugene Moren"/>
    <x v="2"/>
    <x v="0"/>
    <n v="37911"/>
    <n v="3241"/>
    <n v="31"/>
  </r>
  <r>
    <x v="123"/>
    <s v="Darrin Sayre"/>
    <x v="2"/>
    <x v="1"/>
    <n v="42734"/>
    <n v="9060"/>
    <n v="81"/>
  </r>
  <r>
    <x v="124"/>
    <s v="Darrin Sayre"/>
    <x v="3"/>
    <x v="3"/>
    <n v="42938"/>
    <n v="3518"/>
    <n v="85"/>
  </r>
  <r>
    <x v="89"/>
    <s v="Darrin Sayre"/>
    <x v="2"/>
    <x v="0"/>
    <n v="9086"/>
    <n v="13604"/>
    <n v="41"/>
  </r>
  <r>
    <x v="89"/>
    <s v="Beth Thompson"/>
    <x v="2"/>
    <x v="1"/>
    <n v="9810"/>
    <n v="8338"/>
    <n v="65"/>
  </r>
  <r>
    <x v="89"/>
    <s v="Kristina Nunn"/>
    <x v="3"/>
    <x v="3"/>
    <n v="27069"/>
    <n v="12014"/>
    <n v="16"/>
  </r>
  <r>
    <x v="125"/>
    <s v="Vicky Freymann"/>
    <x v="0"/>
    <x v="1"/>
    <n v="26567"/>
    <n v="5732"/>
    <n v="68"/>
  </r>
  <r>
    <x v="126"/>
    <s v="Paul Stevenson"/>
    <x v="2"/>
    <x v="2"/>
    <n v="42002"/>
    <n v="12746"/>
    <n v="10"/>
  </r>
  <r>
    <x v="127"/>
    <s v="Julie Prescott"/>
    <x v="0"/>
    <x v="1"/>
    <n v="48515"/>
    <n v="9771"/>
    <n v="27"/>
  </r>
  <r>
    <x v="128"/>
    <s v="Laurel Beltran"/>
    <x v="3"/>
    <x v="2"/>
    <n v="33673"/>
    <n v="9663"/>
    <n v="63"/>
  </r>
  <r>
    <x v="129"/>
    <s v="Nick Zandusky"/>
    <x v="2"/>
    <x v="3"/>
    <n v="40084"/>
    <n v="8426"/>
    <n v="6"/>
  </r>
  <r>
    <x v="130"/>
    <s v="Paul Prost"/>
    <x v="1"/>
    <x v="3"/>
    <n v="48390"/>
    <n v="3505"/>
    <n v="24"/>
  </r>
  <r>
    <x v="131"/>
    <s v="Eugene Hildebrand"/>
    <x v="3"/>
    <x v="1"/>
    <n v="11810"/>
    <n v="11371"/>
    <n v="10"/>
  </r>
  <r>
    <x v="37"/>
    <s v="Tracy Collins"/>
    <x v="2"/>
    <x v="0"/>
    <n v="42035"/>
    <n v="8203"/>
    <n v="69"/>
  </r>
  <r>
    <x v="132"/>
    <s v="Sean Wendt"/>
    <x v="0"/>
    <x v="3"/>
    <n v="29128"/>
    <n v="3325"/>
    <n v="53"/>
  </r>
  <r>
    <x v="133"/>
    <s v="Frank Carlisle"/>
    <x v="1"/>
    <x v="2"/>
    <n v="15837"/>
    <n v="3407"/>
    <n v="36"/>
  </r>
  <r>
    <x v="134"/>
    <s v="Alyssa Tate"/>
    <x v="2"/>
    <x v="2"/>
    <n v="48150"/>
    <n v="14732"/>
    <n v="99"/>
  </r>
  <r>
    <x v="135"/>
    <s v="Christopher Schild"/>
    <x v="0"/>
    <x v="3"/>
    <n v="12560"/>
    <n v="10106"/>
    <n v="19"/>
  </r>
  <r>
    <x v="136"/>
    <s v="Daniel Byrd"/>
    <x v="1"/>
    <x v="2"/>
    <n v="38707"/>
    <n v="3826"/>
    <n v="72"/>
  </r>
  <r>
    <x v="137"/>
    <s v="Laurel Beltran"/>
    <x v="2"/>
    <x v="0"/>
    <n v="28573"/>
    <n v="1892"/>
    <n v="45"/>
  </r>
  <r>
    <x v="138"/>
    <s v="Paul Prost"/>
    <x v="0"/>
    <x v="2"/>
    <n v="12514"/>
    <n v="13330"/>
    <n v="16"/>
  </r>
  <r>
    <x v="57"/>
    <s v="Lindsay Castell"/>
    <x v="1"/>
    <x v="3"/>
    <n v="27915"/>
    <n v="8540"/>
    <n v="35"/>
  </r>
  <r>
    <x v="139"/>
    <s v="Lindsay Castell"/>
    <x v="3"/>
    <x v="0"/>
    <n v="44906"/>
    <n v="3223"/>
    <n v="25"/>
  </r>
  <r>
    <x v="140"/>
    <s v="Mick Hernandez"/>
    <x v="1"/>
    <x v="0"/>
    <n v="7391"/>
    <n v="4318"/>
    <n v="26"/>
  </r>
  <r>
    <x v="140"/>
    <s v="Anne Pryor"/>
    <x v="3"/>
    <x v="1"/>
    <n v="6772"/>
    <n v="11319"/>
    <n v="86"/>
  </r>
  <r>
    <x v="141"/>
    <s v="Roger Barcio"/>
    <x v="3"/>
    <x v="2"/>
    <n v="11605"/>
    <n v="7479"/>
    <n v="99"/>
  </r>
  <r>
    <x v="142"/>
    <s v="Ross Baird"/>
    <x v="0"/>
    <x v="0"/>
    <n v="42817"/>
    <n v="8655"/>
    <n v="67"/>
  </r>
  <r>
    <x v="143"/>
    <s v="Tanja Norvell"/>
    <x v="3"/>
    <x v="0"/>
    <n v="49120"/>
    <n v="13862"/>
    <n v="94"/>
  </r>
  <r>
    <x v="144"/>
    <s v="Penelope Sewall"/>
    <x v="0"/>
    <x v="2"/>
    <n v="12799"/>
    <n v="5334"/>
    <n v="5"/>
  </r>
  <r>
    <x v="145"/>
    <s v="Skye Norling"/>
    <x v="0"/>
    <x v="0"/>
    <n v="49318"/>
    <n v="2375"/>
    <n v="7"/>
  </r>
  <r>
    <x v="89"/>
    <s v="Skye Norling"/>
    <x v="2"/>
    <x v="0"/>
    <n v="39081"/>
    <n v="2657"/>
    <n v="8"/>
  </r>
  <r>
    <x v="146"/>
    <s v="Tracy Hopkins"/>
    <x v="0"/>
    <x v="3"/>
    <n v="39517"/>
    <n v="7022"/>
    <n v="34"/>
  </r>
  <r>
    <x v="146"/>
    <s v="Sharelle Roach"/>
    <x v="0"/>
    <x v="0"/>
    <n v="19363"/>
    <n v="11607"/>
    <n v="59"/>
  </r>
  <r>
    <x v="147"/>
    <s v="Sharelle Roach"/>
    <x v="2"/>
    <x v="0"/>
    <n v="14219"/>
    <n v="1080"/>
    <n v="15"/>
  </r>
  <r>
    <x v="148"/>
    <s v="Sharelle Roach"/>
    <x v="0"/>
    <x v="0"/>
    <n v="41325"/>
    <n v="11684"/>
    <n v="23"/>
  </r>
  <r>
    <x v="148"/>
    <s v="Dean percer"/>
    <x v="0"/>
    <x v="3"/>
    <n v="8234"/>
    <n v="3953"/>
    <n v="55"/>
  </r>
  <r>
    <x v="148"/>
    <s v="Craig Leslie"/>
    <x v="0"/>
    <x v="3"/>
    <n v="29940"/>
    <n v="3426"/>
    <n v="73"/>
  </r>
  <r>
    <x v="149"/>
    <s v="Dennis Pardue"/>
    <x v="0"/>
    <x v="2"/>
    <n v="21092"/>
    <n v="4468"/>
    <n v="77"/>
  </r>
  <r>
    <x v="150"/>
    <s v="Nora Pelletier"/>
    <x v="2"/>
    <x v="2"/>
    <n v="36557"/>
    <n v="14669"/>
    <n v="41"/>
  </r>
  <r>
    <x v="151"/>
    <s v="Sanjit Jacobs"/>
    <x v="0"/>
    <x v="3"/>
    <n v="6459"/>
    <n v="13967"/>
    <n v="20"/>
  </r>
  <r>
    <x v="152"/>
    <s v="Gary Hansen"/>
    <x v="1"/>
    <x v="1"/>
    <n v="5582"/>
    <n v="14793"/>
    <n v="40"/>
  </r>
  <r>
    <x v="153"/>
    <s v="Gary Hansen"/>
    <x v="3"/>
    <x v="1"/>
    <n v="44346"/>
    <n v="1192"/>
    <n v="95"/>
  </r>
  <r>
    <x v="154"/>
    <s v="Sean Miller"/>
    <x v="0"/>
    <x v="2"/>
    <n v="6134"/>
    <n v="1369"/>
    <n v="82"/>
  </r>
  <r>
    <x v="154"/>
    <s v="Harold Pawlan"/>
    <x v="3"/>
    <x v="2"/>
    <n v="21161"/>
    <n v="12176"/>
    <n v="80"/>
  </r>
  <r>
    <x v="155"/>
    <s v="Anthony Garverick"/>
    <x v="1"/>
    <x v="3"/>
    <n v="18355"/>
    <n v="7657"/>
    <n v="7"/>
  </r>
  <r>
    <x v="156"/>
    <s v="Catherine Glotzbach"/>
    <x v="1"/>
    <x v="2"/>
    <n v="14251"/>
    <n v="2106"/>
    <n v="53"/>
  </r>
  <r>
    <x v="157"/>
    <s v="Ross Baird"/>
    <x v="3"/>
    <x v="1"/>
    <n v="45575"/>
    <n v="4363"/>
    <n v="9"/>
  </r>
  <r>
    <x v="158"/>
    <s v="Paul Lucas"/>
    <x v="3"/>
    <x v="0"/>
    <n v="38688"/>
    <n v="5697"/>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84EF0F-D8FD-4E58-B089-E1DCC4DC815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9:E11" firstHeaderRow="1" firstDataRow="1" firstDataCol="1"/>
  <pivotFields count="10">
    <pivotField axis="axisRow" numFmtId="14" showAll="0">
      <items count="160">
        <item x="113"/>
        <item x="24"/>
        <item x="11"/>
        <item x="130"/>
        <item x="91"/>
        <item x="108"/>
        <item x="55"/>
        <item x="64"/>
        <item x="85"/>
        <item x="122"/>
        <item x="47"/>
        <item x="14"/>
        <item x="50"/>
        <item x="124"/>
        <item x="110"/>
        <item x="66"/>
        <item x="109"/>
        <item x="107"/>
        <item x="105"/>
        <item x="157"/>
        <item x="76"/>
        <item x="61"/>
        <item x="35"/>
        <item x="39"/>
        <item x="100"/>
        <item x="62"/>
        <item x="136"/>
        <item x="6"/>
        <item x="151"/>
        <item x="77"/>
        <item x="67"/>
        <item x="63"/>
        <item x="70"/>
        <item x="9"/>
        <item x="46"/>
        <item x="101"/>
        <item x="102"/>
        <item x="146"/>
        <item x="120"/>
        <item x="80"/>
        <item x="81"/>
        <item x="155"/>
        <item x="90"/>
        <item x="84"/>
        <item x="125"/>
        <item x="69"/>
        <item x="118"/>
        <item x="31"/>
        <item x="153"/>
        <item x="95"/>
        <item x="152"/>
        <item x="27"/>
        <item x="23"/>
        <item x="106"/>
        <item x="65"/>
        <item x="87"/>
        <item x="2"/>
        <item x="93"/>
        <item x="29"/>
        <item x="49"/>
        <item x="117"/>
        <item x="12"/>
        <item x="140"/>
        <item x="60"/>
        <item x="88"/>
        <item x="33"/>
        <item x="34"/>
        <item x="45"/>
        <item x="132"/>
        <item x="144"/>
        <item x="59"/>
        <item x="145"/>
        <item x="150"/>
        <item x="16"/>
        <item x="79"/>
        <item x="20"/>
        <item x="36"/>
        <item x="17"/>
        <item x="75"/>
        <item x="158"/>
        <item x="42"/>
        <item x="19"/>
        <item x="154"/>
        <item x="116"/>
        <item x="73"/>
        <item x="43"/>
        <item x="131"/>
        <item x="8"/>
        <item x="28"/>
        <item x="0"/>
        <item x="114"/>
        <item x="82"/>
        <item x="142"/>
        <item x="74"/>
        <item x="71"/>
        <item x="99"/>
        <item x="37"/>
        <item x="57"/>
        <item x="4"/>
        <item x="13"/>
        <item x="53"/>
        <item x="129"/>
        <item x="51"/>
        <item x="98"/>
        <item x="68"/>
        <item x="41"/>
        <item x="103"/>
        <item x="89"/>
        <item x="156"/>
        <item x="56"/>
        <item x="38"/>
        <item x="128"/>
        <item x="137"/>
        <item x="25"/>
        <item x="148"/>
        <item x="141"/>
        <item x="32"/>
        <item x="112"/>
        <item x="92"/>
        <item x="22"/>
        <item x="78"/>
        <item x="115"/>
        <item x="54"/>
        <item x="121"/>
        <item x="94"/>
        <item x="127"/>
        <item x="134"/>
        <item x="5"/>
        <item x="119"/>
        <item x="111"/>
        <item x="72"/>
        <item x="44"/>
        <item x="126"/>
        <item x="18"/>
        <item x="96"/>
        <item x="48"/>
        <item x="139"/>
        <item x="149"/>
        <item x="30"/>
        <item x="86"/>
        <item x="147"/>
        <item x="135"/>
        <item x="143"/>
        <item x="26"/>
        <item x="104"/>
        <item x="83"/>
        <item x="10"/>
        <item x="97"/>
        <item x="40"/>
        <item x="138"/>
        <item x="21"/>
        <item x="1"/>
        <item x="123"/>
        <item x="58"/>
        <item x="52"/>
        <item x="15"/>
        <item x="133"/>
        <item x="3"/>
        <item x="7"/>
        <item t="default"/>
      </items>
    </pivotField>
    <pivotField showAll="0"/>
    <pivotField showAll="0">
      <items count="5">
        <item h="1" x="1"/>
        <item h="1" x="3"/>
        <item x="2"/>
        <item h="1" x="0"/>
        <item t="default"/>
      </items>
    </pivotField>
    <pivotField showAll="0">
      <items count="5">
        <item h="1" x="1"/>
        <item h="1" x="3"/>
        <item h="1" x="0"/>
        <item x="2"/>
        <item t="default"/>
      </items>
    </pivotField>
    <pivotField dataField="1" numFmtId="1" showAll="0"/>
    <pivotField numFmtId="1" showAll="0"/>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9"/>
    <field x="8"/>
    <field x="7"/>
    <field x="0"/>
  </rowFields>
  <rowItems count="2">
    <i>
      <x v="4"/>
    </i>
    <i t="grand">
      <x/>
    </i>
  </rowItems>
  <colItems count="1">
    <i/>
  </colItems>
  <dataFields count="1">
    <dataField name="Sum of Sales" fld="4" baseField="0" baseItem="0" numFmtId="1"/>
  </dataFields>
  <formats count="1">
    <format dxfId="30">
      <pivotArea dataOnly="0" labelOnly="1" fieldPosition="0">
        <references count="1">
          <reference field="9" count="0"/>
        </references>
      </pivotArea>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3"/>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filters count="1">
    <filter fld="0" type="dateBetween" evalOrder="-1" id="48" name=" 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FB6639-E99E-4C2C-BE43-B8454590D97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5" firstHeaderRow="1" firstDataRow="1" firstDataCol="1"/>
  <pivotFields count="10">
    <pivotField numFmtId="14" showAll="0">
      <items count="160">
        <item x="113"/>
        <item x="24"/>
        <item x="11"/>
        <item x="130"/>
        <item x="91"/>
        <item x="108"/>
        <item x="55"/>
        <item x="64"/>
        <item x="85"/>
        <item x="122"/>
        <item x="47"/>
        <item x="14"/>
        <item x="50"/>
        <item x="124"/>
        <item x="110"/>
        <item x="66"/>
        <item x="109"/>
        <item x="107"/>
        <item x="105"/>
        <item x="157"/>
        <item x="76"/>
        <item x="61"/>
        <item x="35"/>
        <item x="39"/>
        <item x="100"/>
        <item x="62"/>
        <item x="136"/>
        <item x="6"/>
        <item x="151"/>
        <item x="77"/>
        <item x="67"/>
        <item x="63"/>
        <item x="70"/>
        <item x="9"/>
        <item x="46"/>
        <item x="101"/>
        <item x="102"/>
        <item x="146"/>
        <item x="120"/>
        <item x="80"/>
        <item x="81"/>
        <item x="155"/>
        <item x="90"/>
        <item x="84"/>
        <item x="125"/>
        <item x="69"/>
        <item x="118"/>
        <item x="31"/>
        <item x="153"/>
        <item x="95"/>
        <item x="152"/>
        <item x="27"/>
        <item x="23"/>
        <item x="106"/>
        <item x="65"/>
        <item x="87"/>
        <item x="2"/>
        <item x="93"/>
        <item x="29"/>
        <item x="49"/>
        <item x="117"/>
        <item x="12"/>
        <item x="140"/>
        <item x="60"/>
        <item x="88"/>
        <item x="33"/>
        <item x="34"/>
        <item x="45"/>
        <item x="132"/>
        <item x="144"/>
        <item x="59"/>
        <item x="145"/>
        <item x="150"/>
        <item x="16"/>
        <item x="79"/>
        <item x="20"/>
        <item x="36"/>
        <item x="17"/>
        <item x="75"/>
        <item x="158"/>
        <item x="42"/>
        <item x="19"/>
        <item x="154"/>
        <item x="116"/>
        <item x="73"/>
        <item x="43"/>
        <item x="131"/>
        <item x="8"/>
        <item x="28"/>
        <item x="0"/>
        <item x="114"/>
        <item x="82"/>
        <item x="142"/>
        <item x="74"/>
        <item x="71"/>
        <item x="99"/>
        <item x="37"/>
        <item x="57"/>
        <item x="4"/>
        <item x="13"/>
        <item x="53"/>
        <item x="129"/>
        <item x="51"/>
        <item x="98"/>
        <item x="68"/>
        <item x="41"/>
        <item x="103"/>
        <item x="89"/>
        <item x="156"/>
        <item x="56"/>
        <item x="38"/>
        <item x="128"/>
        <item x="137"/>
        <item x="25"/>
        <item x="148"/>
        <item x="141"/>
        <item x="32"/>
        <item x="112"/>
        <item x="92"/>
        <item x="22"/>
        <item x="78"/>
        <item x="115"/>
        <item x="54"/>
        <item x="121"/>
        <item x="94"/>
        <item x="127"/>
        <item x="134"/>
        <item x="5"/>
        <item x="119"/>
        <item x="111"/>
        <item x="72"/>
        <item x="44"/>
        <item x="126"/>
        <item x="18"/>
        <item x="96"/>
        <item x="48"/>
        <item x="139"/>
        <item x="149"/>
        <item x="30"/>
        <item x="86"/>
        <item x="147"/>
        <item x="135"/>
        <item x="143"/>
        <item x="26"/>
        <item x="104"/>
        <item x="83"/>
        <item x="10"/>
        <item x="97"/>
        <item x="40"/>
        <item x="138"/>
        <item x="21"/>
        <item x="1"/>
        <item x="123"/>
        <item x="58"/>
        <item x="52"/>
        <item x="15"/>
        <item x="133"/>
        <item x="3"/>
        <item x="7"/>
        <item t="default"/>
      </items>
    </pivotField>
    <pivotField showAll="0"/>
    <pivotField axis="axisRow" showAll="0" sortType="ascending">
      <items count="5">
        <item h="1" x="1"/>
        <item h="1" x="3"/>
        <item x="2"/>
        <item h="1" x="0"/>
        <item t="default"/>
      </items>
    </pivotField>
    <pivotField showAll="0">
      <items count="5">
        <item h="1" x="1"/>
        <item h="1" x="3"/>
        <item h="1" x="0"/>
        <item x="2"/>
        <item t="default"/>
      </items>
    </pivotField>
    <pivotField dataField="1" numFmtId="1"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2">
    <i>
      <x v="2"/>
    </i>
    <i t="grand">
      <x/>
    </i>
  </rowItems>
  <colItems count="1">
    <i/>
  </colItems>
  <dataFields count="1">
    <dataField name="Sum of Sales" fld="4" baseField="0" baseItem="0" numFmtId="1"/>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filters count="1">
    <filter fld="0" type="dateBetween" evalOrder="-1" id="28" name=" 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0F211C-960F-4D20-B258-4FDA4CE7E17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G10:H12" firstHeaderRow="1" firstDataRow="1" firstDataCol="1"/>
  <pivotFields count="10">
    <pivotField numFmtId="14" showAll="0">
      <items count="160">
        <item x="113"/>
        <item x="24"/>
        <item x="11"/>
        <item x="130"/>
        <item x="91"/>
        <item x="108"/>
        <item x="55"/>
        <item x="64"/>
        <item x="85"/>
        <item x="122"/>
        <item x="47"/>
        <item x="14"/>
        <item x="50"/>
        <item x="124"/>
        <item x="110"/>
        <item x="66"/>
        <item x="109"/>
        <item x="107"/>
        <item x="105"/>
        <item x="157"/>
        <item x="76"/>
        <item x="61"/>
        <item x="35"/>
        <item x="39"/>
        <item x="100"/>
        <item x="62"/>
        <item x="136"/>
        <item x="6"/>
        <item x="151"/>
        <item x="77"/>
        <item x="67"/>
        <item x="63"/>
        <item x="70"/>
        <item x="9"/>
        <item x="46"/>
        <item x="101"/>
        <item x="102"/>
        <item x="146"/>
        <item x="120"/>
        <item x="80"/>
        <item x="81"/>
        <item x="155"/>
        <item x="90"/>
        <item x="84"/>
        <item x="125"/>
        <item x="69"/>
        <item x="118"/>
        <item x="31"/>
        <item x="153"/>
        <item x="95"/>
        <item x="152"/>
        <item x="27"/>
        <item x="23"/>
        <item x="106"/>
        <item x="65"/>
        <item x="87"/>
        <item x="2"/>
        <item x="93"/>
        <item x="29"/>
        <item x="49"/>
        <item x="117"/>
        <item x="12"/>
        <item x="140"/>
        <item x="60"/>
        <item x="88"/>
        <item x="33"/>
        <item x="34"/>
        <item x="45"/>
        <item x="132"/>
        <item x="144"/>
        <item x="59"/>
        <item x="145"/>
        <item x="150"/>
        <item x="16"/>
        <item x="79"/>
        <item x="20"/>
        <item x="36"/>
        <item x="17"/>
        <item x="75"/>
        <item x="158"/>
        <item x="42"/>
        <item x="19"/>
        <item x="154"/>
        <item x="116"/>
        <item x="73"/>
        <item x="43"/>
        <item x="131"/>
        <item x="8"/>
        <item x="28"/>
        <item x="0"/>
        <item x="114"/>
        <item x="82"/>
        <item x="142"/>
        <item x="74"/>
        <item x="71"/>
        <item x="99"/>
        <item x="37"/>
        <item x="57"/>
        <item x="4"/>
        <item x="13"/>
        <item x="53"/>
        <item x="129"/>
        <item x="51"/>
        <item x="98"/>
        <item x="68"/>
        <item x="41"/>
        <item x="103"/>
        <item x="89"/>
        <item x="156"/>
        <item x="56"/>
        <item x="38"/>
        <item x="128"/>
        <item x="137"/>
        <item x="25"/>
        <item x="148"/>
        <item x="141"/>
        <item x="32"/>
        <item x="112"/>
        <item x="92"/>
        <item x="22"/>
        <item x="78"/>
        <item x="115"/>
        <item x="54"/>
        <item x="121"/>
        <item x="94"/>
        <item x="127"/>
        <item x="134"/>
        <item x="5"/>
        <item x="119"/>
        <item x="111"/>
        <item x="72"/>
        <item x="44"/>
        <item x="126"/>
        <item x="18"/>
        <item x="96"/>
        <item x="48"/>
        <item x="139"/>
        <item x="149"/>
        <item x="30"/>
        <item x="86"/>
        <item x="147"/>
        <item x="135"/>
        <item x="143"/>
        <item x="26"/>
        <item x="104"/>
        <item x="83"/>
        <item x="10"/>
        <item x="97"/>
        <item x="40"/>
        <item x="138"/>
        <item x="21"/>
        <item x="1"/>
        <item x="123"/>
        <item x="58"/>
        <item x="52"/>
        <item x="15"/>
        <item x="133"/>
        <item x="3"/>
        <item x="7"/>
        <item t="default"/>
      </items>
    </pivotField>
    <pivotField showAll="0"/>
    <pivotField showAll="0">
      <items count="5">
        <item h="1" x="1"/>
        <item h="1" x="3"/>
        <item x="2"/>
        <item h="1" x="0"/>
        <item t="default"/>
      </items>
    </pivotField>
    <pivotField axis="axisRow" showAll="0">
      <items count="5">
        <item h="1" x="1"/>
        <item h="1" x="3"/>
        <item h="1" x="0"/>
        <item x="2"/>
        <item t="default"/>
      </items>
    </pivotField>
    <pivotField dataField="1" numFmtId="1" showAll="0"/>
    <pivotField numFmtId="1"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2">
    <i>
      <x v="3"/>
    </i>
    <i t="grand">
      <x/>
    </i>
  </rowItems>
  <colItems count="1">
    <i/>
  </colItems>
  <dataFields count="1">
    <dataField name="Sum of Sales" fld="4" baseField="0" baseItem="0" numFmtId="1"/>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8" name=" 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6FD9F6-6D5F-479B-A87A-9AD90640772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2:G4" firstHeaderRow="1" firstDataRow="1" firstDataCol="1"/>
  <pivotFields count="10">
    <pivotField numFmtId="14" showAll="0">
      <items count="160">
        <item x="113"/>
        <item x="24"/>
        <item x="11"/>
        <item x="130"/>
        <item x="91"/>
        <item x="108"/>
        <item x="55"/>
        <item x="64"/>
        <item x="85"/>
        <item x="122"/>
        <item x="47"/>
        <item x="14"/>
        <item x="50"/>
        <item x="124"/>
        <item x="110"/>
        <item x="66"/>
        <item x="109"/>
        <item x="107"/>
        <item x="105"/>
        <item x="157"/>
        <item x="76"/>
        <item x="61"/>
        <item x="35"/>
        <item x="39"/>
        <item x="100"/>
        <item x="62"/>
        <item x="136"/>
        <item x="6"/>
        <item x="151"/>
        <item x="77"/>
        <item x="67"/>
        <item x="63"/>
        <item x="70"/>
        <item x="9"/>
        <item x="46"/>
        <item x="101"/>
        <item x="102"/>
        <item x="146"/>
        <item x="120"/>
        <item x="80"/>
        <item x="81"/>
        <item x="155"/>
        <item x="90"/>
        <item x="84"/>
        <item x="125"/>
        <item x="69"/>
        <item x="118"/>
        <item x="31"/>
        <item x="153"/>
        <item x="95"/>
        <item x="152"/>
        <item x="27"/>
        <item x="23"/>
        <item x="106"/>
        <item x="65"/>
        <item x="87"/>
        <item x="2"/>
        <item x="93"/>
        <item x="29"/>
        <item x="49"/>
        <item x="117"/>
        <item x="12"/>
        <item x="140"/>
        <item x="60"/>
        <item x="88"/>
        <item x="33"/>
        <item x="34"/>
        <item x="45"/>
        <item x="132"/>
        <item x="144"/>
        <item x="59"/>
        <item x="145"/>
        <item x="150"/>
        <item x="16"/>
        <item x="79"/>
        <item x="20"/>
        <item x="36"/>
        <item x="17"/>
        <item x="75"/>
        <item x="158"/>
        <item x="42"/>
        <item x="19"/>
        <item x="154"/>
        <item x="116"/>
        <item x="73"/>
        <item x="43"/>
        <item x="131"/>
        <item x="8"/>
        <item x="28"/>
        <item x="0"/>
        <item x="114"/>
        <item x="82"/>
        <item x="142"/>
        <item x="74"/>
        <item x="71"/>
        <item x="99"/>
        <item x="37"/>
        <item x="57"/>
        <item x="4"/>
        <item x="13"/>
        <item x="53"/>
        <item x="129"/>
        <item x="51"/>
        <item x="98"/>
        <item x="68"/>
        <item x="41"/>
        <item x="103"/>
        <item x="89"/>
        <item x="156"/>
        <item x="56"/>
        <item x="38"/>
        <item x="128"/>
        <item x="137"/>
        <item x="25"/>
        <item x="148"/>
        <item x="141"/>
        <item x="32"/>
        <item x="112"/>
        <item x="92"/>
        <item x="22"/>
        <item x="78"/>
        <item x="115"/>
        <item x="54"/>
        <item x="121"/>
        <item x="94"/>
        <item x="127"/>
        <item x="134"/>
        <item x="5"/>
        <item x="119"/>
        <item x="111"/>
        <item x="72"/>
        <item x="44"/>
        <item x="126"/>
        <item x="18"/>
        <item x="96"/>
        <item x="48"/>
        <item x="139"/>
        <item x="149"/>
        <item x="30"/>
        <item x="86"/>
        <item x="147"/>
        <item x="135"/>
        <item x="143"/>
        <item x="26"/>
        <item x="104"/>
        <item x="83"/>
        <item x="10"/>
        <item x="97"/>
        <item x="40"/>
        <item x="138"/>
        <item x="21"/>
        <item x="1"/>
        <item x="123"/>
        <item x="58"/>
        <item x="52"/>
        <item x="15"/>
        <item x="133"/>
        <item x="3"/>
        <item x="7"/>
        <item t="default"/>
      </items>
    </pivotField>
    <pivotField showAll="0"/>
    <pivotField showAll="0">
      <items count="5">
        <item h="1" x="1"/>
        <item h="1" x="3"/>
        <item x="2"/>
        <item h="1" x="0"/>
        <item t="default"/>
      </items>
    </pivotField>
    <pivotField axis="axisRow" showAll="0">
      <items count="5">
        <item h="1" x="1"/>
        <item h="1" x="3"/>
        <item h="1" x="0"/>
        <item x="2"/>
        <item t="default"/>
      </items>
    </pivotField>
    <pivotField numFmtId="1" showAll="0"/>
    <pivotField numFmtId="1"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2">
    <i>
      <x v="3"/>
    </i>
    <i t="grand">
      <x/>
    </i>
  </rowItems>
  <colItems count="1">
    <i/>
  </colItems>
  <dataFields count="1">
    <dataField name="Sum of Quantity" fld="6" baseField="0" baseItem="0" numFmtId="1"/>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 chart="3" format="5">
      <pivotArea type="data" outline="0" fieldPosition="0">
        <references count="2">
          <reference field="4294967294" count="1" selected="0">
            <x v="0"/>
          </reference>
          <reference field="3" count="1" selected="0">
            <x v="1"/>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E6CBED-FC7A-4A18-8A87-3F4B4311130B}" sourceName="Region">
  <pivotTables>
    <pivotTable tabId="5" name="PivotTable1"/>
    <pivotTable tabId="5" name="PivotTable2"/>
    <pivotTable tabId="5" name="PivotTable7"/>
    <pivotTable tabId="5" name="PivotTable8"/>
  </pivotTables>
  <data>
    <tabular pivotCacheId="837218301">
      <items count="4">
        <i x="1"/>
        <i x="3"/>
        <i x="2"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B5D6961-BE99-4F8B-88BC-840C96B97668}" sourceName="Product">
  <pivotTables>
    <pivotTable tabId="5" name="PivotTable7"/>
    <pivotTable tabId="5" name="PivotTable1"/>
    <pivotTable tabId="5" name="PivotTable2"/>
    <pivotTable tabId="5" name="PivotTable8"/>
  </pivotTables>
  <data>
    <tabular pivotCacheId="837218301">
      <items count="4">
        <i x="1"/>
        <i x="3"/>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2882261-BC41-448D-A411-050973ADB3A1}" cache="Slicer_Region" caption="Region" columnCount="2" style="SlicerStyleDark6" rowHeight="255600"/>
  <slicer name="Product 1" xr10:uid="{DF623119-B2F5-4D54-B5D8-EE41F91C525E}" cache="Slicer_Product" caption="Product" columnCount="4" style="SlicerStyleDark6" rowHeight="255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EA7C00-44BC-4CD4-8182-EE34E5EDF939}" name="Table2" displayName="Table2" ref="A1:G201" totalsRowShown="0" headerRowDxfId="29" dataDxfId="28">
  <autoFilter ref="A1:G201" xr:uid="{B5EA7C00-44BC-4CD4-8182-EE34E5EDF939}"/>
  <tableColumns count="7">
    <tableColumn id="1" xr3:uid="{9EFB6F7C-BB78-426E-B930-50E4B34511CC}" name=" Date" dataDxfId="27"/>
    <tableColumn id="3" xr3:uid="{500AC3DA-B72E-4730-83EB-359F26730166}" name="Customer Name" dataDxfId="26"/>
    <tableColumn id="4" xr3:uid="{3AADF0C3-DF0D-467E-8030-855B28CFEB59}" name="Region" dataDxfId="25"/>
    <tableColumn id="5" xr3:uid="{E1C880C1-1D79-4585-9F5A-52A84BDF91DB}" name="Product" dataDxfId="24"/>
    <tableColumn id="6" xr3:uid="{9D7DBFEA-35F1-4FEE-AA86-F6F6C70D45FC}" name="Sales" dataDxfId="23"/>
    <tableColumn id="7" xr3:uid="{6E00892B-281B-49A7-82CA-6083BF2DDACF}" name="Profit" dataDxfId="22"/>
    <tableColumn id="8" xr3:uid="{E69CEBC9-3523-4BDE-B835-1538ACA3FACD}" name="Quantity" dataDxf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95AA7D5-C65C-4BDA-8807-73E433A3294C}" sourceName=" Date">
  <pivotTables>
    <pivotTable tabId="5" name="PivotTable2"/>
    <pivotTable tabId="5" name="PivotTable1"/>
    <pivotTable tabId="5" name="PivotTable8"/>
  </pivotTables>
  <state minimalRefreshVersion="6" lastRefreshVersion="6" pivotCacheId="837218301" filterType="dateBetween">
    <selection startDate="2017-06-01T00:00:00" endDate="2017-06-30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 Date 1" xr10:uid="{0106E913-2CF7-4BFF-969E-4D97C4659B73}" cache="NativeTimeline_Date" caption=" Date" level="2" selectionLevel="2" scrollPosition="2017-06-07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46515-0414-465B-A2CC-9E2FE7951C7D}">
  <dimension ref="A1"/>
  <sheetViews>
    <sheetView showGridLines="0" tabSelected="1" zoomScale="74" zoomScaleNormal="74" workbookViewId="0"/>
  </sheetViews>
  <sheetFormatPr defaultRowHeight="18"/>
  <sheetData/>
  <phoneticPr fontId="2"/>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7B7CF-E015-4EE1-A3F3-D59BA303CD02}">
  <dimension ref="A2:H12"/>
  <sheetViews>
    <sheetView workbookViewId="0"/>
  </sheetViews>
  <sheetFormatPr defaultRowHeight="18"/>
  <cols>
    <col min="1" max="1" width="13.75" bestFit="1" customWidth="1"/>
    <col min="2" max="2" width="13.33203125" bestFit="1" customWidth="1"/>
    <col min="3" max="4" width="13.75" bestFit="1" customWidth="1"/>
    <col min="5" max="5" width="13.33203125" bestFit="1" customWidth="1"/>
    <col min="6" max="7" width="13.75" bestFit="1" customWidth="1"/>
    <col min="8" max="8" width="13.33203125" bestFit="1" customWidth="1"/>
  </cols>
  <sheetData>
    <row r="2" spans="1:8">
      <c r="F2" s="3" t="s">
        <v>162</v>
      </c>
      <c r="G2" t="s">
        <v>165</v>
      </c>
    </row>
    <row r="3" spans="1:8">
      <c r="A3" s="3" t="s">
        <v>162</v>
      </c>
      <c r="B3" t="s">
        <v>164</v>
      </c>
      <c r="F3" s="4" t="s">
        <v>11</v>
      </c>
      <c r="G3" s="5">
        <v>660</v>
      </c>
    </row>
    <row r="4" spans="1:8">
      <c r="A4" s="4" t="s">
        <v>9</v>
      </c>
      <c r="B4" s="5">
        <v>10447</v>
      </c>
      <c r="F4" s="4" t="s">
        <v>163</v>
      </c>
      <c r="G4" s="5">
        <v>660</v>
      </c>
    </row>
    <row r="5" spans="1:8">
      <c r="A5" s="4" t="s">
        <v>163</v>
      </c>
      <c r="B5" s="5">
        <v>10447</v>
      </c>
    </row>
    <row r="9" spans="1:8">
      <c r="D9" s="3" t="s">
        <v>162</v>
      </c>
      <c r="E9" t="s">
        <v>164</v>
      </c>
    </row>
    <row r="10" spans="1:8">
      <c r="D10" s="12" t="s">
        <v>169</v>
      </c>
      <c r="E10" s="5">
        <v>10447</v>
      </c>
      <c r="G10" s="3" t="s">
        <v>162</v>
      </c>
      <c r="H10" t="s">
        <v>164</v>
      </c>
    </row>
    <row r="11" spans="1:8">
      <c r="A11" s="9" t="s">
        <v>168</v>
      </c>
      <c r="B11" s="10">
        <f>GETPIVOTDATA("Sales",$A$3)</f>
        <v>10447</v>
      </c>
      <c r="D11" s="4" t="s">
        <v>163</v>
      </c>
      <c r="E11" s="5">
        <v>10447</v>
      </c>
      <c r="G11" s="4" t="s">
        <v>11</v>
      </c>
      <c r="H11" s="5">
        <v>10447</v>
      </c>
    </row>
    <row r="12" spans="1:8">
      <c r="A12" s="9" t="s">
        <v>166</v>
      </c>
      <c r="B12" s="11">
        <f>GETPIVOTDATA("Quantity",$F$2)</f>
        <v>660</v>
      </c>
      <c r="G12" s="4" t="s">
        <v>163</v>
      </c>
      <c r="H12" s="5">
        <v>10447</v>
      </c>
    </row>
  </sheetData>
  <phoneticPr fontId="2"/>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FC503-08EE-4B8E-B346-F1C5C875CCDD}">
  <dimension ref="A1:G201"/>
  <sheetViews>
    <sheetView workbookViewId="0"/>
  </sheetViews>
  <sheetFormatPr defaultRowHeight="18"/>
  <cols>
    <col min="1" max="1" width="14" customWidth="1"/>
    <col min="2" max="2" width="10.83203125" customWidth="1"/>
    <col min="3" max="3" width="15" customWidth="1"/>
    <col min="8" max="8" width="9.33203125" customWidth="1"/>
  </cols>
  <sheetData>
    <row r="1" spans="1:7">
      <c r="A1" s="7" t="s">
        <v>167</v>
      </c>
      <c r="B1" s="6" t="s">
        <v>13</v>
      </c>
      <c r="C1" s="6" t="s">
        <v>0</v>
      </c>
      <c r="D1" s="6" t="s">
        <v>1</v>
      </c>
      <c r="E1" s="6" t="s">
        <v>2</v>
      </c>
      <c r="F1" s="6" t="s">
        <v>3</v>
      </c>
      <c r="G1" s="6" t="s">
        <v>4</v>
      </c>
    </row>
    <row r="2" spans="1:7">
      <c r="A2" s="8">
        <v>42631</v>
      </c>
      <c r="B2" s="1" t="s">
        <v>14</v>
      </c>
      <c r="C2" s="1" t="s">
        <v>5</v>
      </c>
      <c r="D2" s="1" t="s">
        <v>6</v>
      </c>
      <c r="E2" s="2">
        <v>14304</v>
      </c>
      <c r="F2" s="2">
        <v>9492</v>
      </c>
      <c r="G2" s="2">
        <v>40</v>
      </c>
    </row>
    <row r="3" spans="1:7">
      <c r="A3" s="8">
        <v>43080</v>
      </c>
      <c r="B3" s="1" t="s">
        <v>15</v>
      </c>
      <c r="C3" s="1" t="s">
        <v>7</v>
      </c>
      <c r="D3" s="1" t="s">
        <v>8</v>
      </c>
      <c r="E3" s="2">
        <v>34609</v>
      </c>
      <c r="F3" s="2">
        <v>1266</v>
      </c>
      <c r="G3" s="2">
        <v>95</v>
      </c>
    </row>
    <row r="4" spans="1:7">
      <c r="A4" s="8">
        <v>42341</v>
      </c>
      <c r="B4" s="1" t="s">
        <v>16</v>
      </c>
      <c r="C4" s="1" t="s">
        <v>9</v>
      </c>
      <c r="D4" s="1" t="s">
        <v>6</v>
      </c>
      <c r="E4" s="2">
        <v>41614</v>
      </c>
      <c r="F4" s="2">
        <v>11392</v>
      </c>
      <c r="G4" s="2">
        <v>100</v>
      </c>
    </row>
    <row r="5" spans="1:7">
      <c r="A5" s="8">
        <v>43097</v>
      </c>
      <c r="B5" s="1" t="s">
        <v>17</v>
      </c>
      <c r="C5" s="1" t="s">
        <v>9</v>
      </c>
      <c r="D5" s="1" t="s">
        <v>6</v>
      </c>
      <c r="E5" s="2">
        <v>6901</v>
      </c>
      <c r="F5" s="2">
        <v>7475</v>
      </c>
      <c r="G5" s="2">
        <v>77</v>
      </c>
    </row>
    <row r="6" spans="1:7">
      <c r="A6" s="8">
        <v>42693</v>
      </c>
      <c r="B6" s="1" t="s">
        <v>18</v>
      </c>
      <c r="C6" s="1" t="s">
        <v>10</v>
      </c>
      <c r="D6" s="1" t="s">
        <v>11</v>
      </c>
      <c r="E6" s="2">
        <v>30959</v>
      </c>
      <c r="F6" s="2">
        <v>4672</v>
      </c>
      <c r="G6" s="2">
        <v>38</v>
      </c>
    </row>
    <row r="7" spans="1:7">
      <c r="A7" s="8">
        <v>42939</v>
      </c>
      <c r="B7" s="1" t="s">
        <v>19</v>
      </c>
      <c r="C7" s="1" t="s">
        <v>9</v>
      </c>
      <c r="D7" s="1" t="s">
        <v>6</v>
      </c>
      <c r="E7" s="2">
        <v>9834</v>
      </c>
      <c r="F7" s="2">
        <v>9956</v>
      </c>
      <c r="G7" s="2">
        <v>64</v>
      </c>
    </row>
    <row r="8" spans="1:7">
      <c r="A8" s="8">
        <v>41983</v>
      </c>
      <c r="B8" s="1" t="s">
        <v>20</v>
      </c>
      <c r="C8" s="1" t="s">
        <v>9</v>
      </c>
      <c r="D8" s="1" t="s">
        <v>6</v>
      </c>
      <c r="E8" s="2">
        <v>22140</v>
      </c>
      <c r="F8" s="2">
        <v>1563</v>
      </c>
      <c r="G8" s="2">
        <v>90</v>
      </c>
    </row>
    <row r="9" spans="1:7">
      <c r="A9" s="8">
        <v>43099</v>
      </c>
      <c r="B9" s="1" t="s">
        <v>21</v>
      </c>
      <c r="C9" s="1" t="s">
        <v>5</v>
      </c>
      <c r="D9" s="1" t="s">
        <v>12</v>
      </c>
      <c r="E9" s="2">
        <v>44406</v>
      </c>
      <c r="F9" s="2">
        <v>6192</v>
      </c>
      <c r="G9" s="2">
        <v>43</v>
      </c>
    </row>
    <row r="10" spans="1:7">
      <c r="A10" s="8">
        <v>42628</v>
      </c>
      <c r="B10" s="1" t="s">
        <v>22</v>
      </c>
      <c r="C10" s="1" t="s">
        <v>7</v>
      </c>
      <c r="D10" s="1" t="s">
        <v>8</v>
      </c>
      <c r="E10" s="2">
        <v>19660</v>
      </c>
      <c r="F10" s="2">
        <v>2381</v>
      </c>
      <c r="G10" s="2">
        <v>6</v>
      </c>
    </row>
    <row r="11" spans="1:7">
      <c r="A11" s="8">
        <v>42098</v>
      </c>
      <c r="B11" s="1" t="s">
        <v>23</v>
      </c>
      <c r="C11" s="1" t="s">
        <v>5</v>
      </c>
      <c r="D11" s="1" t="s">
        <v>6</v>
      </c>
      <c r="E11" s="2">
        <v>46128</v>
      </c>
      <c r="F11" s="2">
        <v>7020</v>
      </c>
      <c r="G11" s="2">
        <v>40</v>
      </c>
    </row>
    <row r="12" spans="1:7">
      <c r="A12" s="8">
        <v>42098</v>
      </c>
      <c r="B12" s="1" t="s">
        <v>23</v>
      </c>
      <c r="C12" s="1" t="s">
        <v>9</v>
      </c>
      <c r="D12" s="1" t="s">
        <v>11</v>
      </c>
      <c r="E12" s="2">
        <v>8435</v>
      </c>
      <c r="F12" s="2">
        <v>4099</v>
      </c>
      <c r="G12" s="2">
        <v>65</v>
      </c>
    </row>
    <row r="13" spans="1:7">
      <c r="A13" s="8">
        <v>43053</v>
      </c>
      <c r="B13" s="1" t="s">
        <v>24</v>
      </c>
      <c r="C13" s="1" t="s">
        <v>5</v>
      </c>
      <c r="D13" s="1" t="s">
        <v>12</v>
      </c>
      <c r="E13" s="2">
        <v>6367</v>
      </c>
      <c r="F13" s="2">
        <v>9781</v>
      </c>
      <c r="G13" s="2">
        <v>93</v>
      </c>
    </row>
    <row r="14" spans="1:7">
      <c r="A14" s="8">
        <v>41701</v>
      </c>
      <c r="B14" s="1" t="s">
        <v>25</v>
      </c>
      <c r="C14" s="1" t="s">
        <v>10</v>
      </c>
      <c r="D14" s="1" t="s">
        <v>8</v>
      </c>
      <c r="E14" s="2">
        <v>18256</v>
      </c>
      <c r="F14" s="2">
        <v>12197</v>
      </c>
      <c r="G14" s="2">
        <v>36</v>
      </c>
    </row>
    <row r="15" spans="1:7">
      <c r="A15" s="8">
        <v>41701</v>
      </c>
      <c r="B15" s="1" t="s">
        <v>25</v>
      </c>
      <c r="C15" s="1" t="s">
        <v>5</v>
      </c>
      <c r="D15" s="1" t="s">
        <v>12</v>
      </c>
      <c r="E15" s="2">
        <v>49350</v>
      </c>
      <c r="F15" s="2">
        <v>1946</v>
      </c>
      <c r="G15" s="2">
        <v>61</v>
      </c>
    </row>
    <row r="16" spans="1:7">
      <c r="A16" s="8">
        <v>42415</v>
      </c>
      <c r="B16" s="1" t="s">
        <v>26</v>
      </c>
      <c r="C16" s="1" t="s">
        <v>9</v>
      </c>
      <c r="D16" s="1" t="s">
        <v>12</v>
      </c>
      <c r="E16" s="2">
        <v>8740</v>
      </c>
      <c r="F16" s="2">
        <v>7974</v>
      </c>
      <c r="G16" s="2">
        <v>91</v>
      </c>
    </row>
    <row r="17" spans="1:7">
      <c r="A17" s="8">
        <v>42696</v>
      </c>
      <c r="B17" s="1" t="s">
        <v>27</v>
      </c>
      <c r="C17" s="1" t="s">
        <v>5</v>
      </c>
      <c r="D17" s="1" t="s">
        <v>8</v>
      </c>
      <c r="E17" s="2">
        <v>34870</v>
      </c>
      <c r="F17" s="2">
        <v>6182</v>
      </c>
      <c r="G17" s="2">
        <v>68</v>
      </c>
    </row>
    <row r="18" spans="1:7">
      <c r="A18" s="8">
        <v>41820</v>
      </c>
      <c r="B18" s="1" t="s">
        <v>28</v>
      </c>
      <c r="C18" s="1" t="s">
        <v>5</v>
      </c>
      <c r="D18" s="1" t="s">
        <v>12</v>
      </c>
      <c r="E18" s="2">
        <v>29239</v>
      </c>
      <c r="F18" s="2">
        <v>9580</v>
      </c>
      <c r="G18" s="2">
        <v>35</v>
      </c>
    </row>
    <row r="19" spans="1:7">
      <c r="A19" s="8">
        <v>43093</v>
      </c>
      <c r="B19" s="1" t="s">
        <v>29</v>
      </c>
      <c r="C19" s="1" t="s">
        <v>5</v>
      </c>
      <c r="D19" s="1" t="s">
        <v>6</v>
      </c>
      <c r="E19" s="2">
        <v>22686</v>
      </c>
      <c r="F19" s="2">
        <v>7777</v>
      </c>
      <c r="G19" s="2">
        <v>60</v>
      </c>
    </row>
    <row r="20" spans="1:7">
      <c r="A20" s="8">
        <v>42490</v>
      </c>
      <c r="B20" s="1" t="s">
        <v>30</v>
      </c>
      <c r="C20" s="1" t="s">
        <v>5</v>
      </c>
      <c r="D20" s="1" t="s">
        <v>12</v>
      </c>
      <c r="E20" s="2">
        <v>22427</v>
      </c>
      <c r="F20" s="2">
        <v>9938</v>
      </c>
      <c r="G20" s="2">
        <v>16</v>
      </c>
    </row>
    <row r="21" spans="1:7">
      <c r="A21" s="8">
        <v>42509</v>
      </c>
      <c r="B21" s="1" t="s">
        <v>31</v>
      </c>
      <c r="C21" s="1" t="s">
        <v>7</v>
      </c>
      <c r="D21" s="1" t="s">
        <v>6</v>
      </c>
      <c r="E21" s="2">
        <v>45965</v>
      </c>
      <c r="F21" s="2">
        <v>12485</v>
      </c>
      <c r="G21" s="2">
        <v>14</v>
      </c>
    </row>
    <row r="22" spans="1:7">
      <c r="A22" s="8">
        <v>42980</v>
      </c>
      <c r="B22" s="1" t="s">
        <v>32</v>
      </c>
      <c r="C22" s="1" t="s">
        <v>10</v>
      </c>
      <c r="D22" s="1" t="s">
        <v>12</v>
      </c>
      <c r="E22" s="2">
        <v>17715</v>
      </c>
      <c r="F22" s="2">
        <v>10349</v>
      </c>
      <c r="G22" s="2">
        <v>69</v>
      </c>
    </row>
    <row r="23" spans="1:7">
      <c r="A23" s="8">
        <v>42565</v>
      </c>
      <c r="B23" s="1" t="s">
        <v>33</v>
      </c>
      <c r="C23" s="1" t="s">
        <v>5</v>
      </c>
      <c r="D23" s="1" t="s">
        <v>11</v>
      </c>
      <c r="E23" s="2">
        <v>26364</v>
      </c>
      <c r="F23" s="2">
        <v>5972</v>
      </c>
      <c r="G23" s="2">
        <v>100</v>
      </c>
    </row>
    <row r="24" spans="1:7">
      <c r="A24" s="8">
        <v>42497</v>
      </c>
      <c r="B24" s="1" t="s">
        <v>34</v>
      </c>
      <c r="C24" s="1" t="s">
        <v>10</v>
      </c>
      <c r="D24" s="1" t="s">
        <v>6</v>
      </c>
      <c r="E24" s="2">
        <v>19981</v>
      </c>
      <c r="F24" s="2">
        <v>11311</v>
      </c>
      <c r="G24" s="2">
        <v>35</v>
      </c>
    </row>
    <row r="25" spans="1:7">
      <c r="A25" s="8">
        <v>43072</v>
      </c>
      <c r="B25" s="1" t="s">
        <v>35</v>
      </c>
      <c r="C25" s="1" t="s">
        <v>7</v>
      </c>
      <c r="D25" s="1" t="s">
        <v>11</v>
      </c>
      <c r="E25" s="2">
        <v>41405</v>
      </c>
      <c r="F25" s="2">
        <v>11606</v>
      </c>
      <c r="G25" s="2">
        <v>75</v>
      </c>
    </row>
    <row r="26" spans="1:7">
      <c r="A26" s="8">
        <v>43072</v>
      </c>
      <c r="B26" s="1" t="s">
        <v>35</v>
      </c>
      <c r="C26" s="1" t="s">
        <v>5</v>
      </c>
      <c r="D26" s="1" t="s">
        <v>6</v>
      </c>
      <c r="E26" s="2">
        <v>26499</v>
      </c>
      <c r="F26" s="2">
        <v>5265</v>
      </c>
      <c r="G26" s="2">
        <v>75</v>
      </c>
    </row>
    <row r="27" spans="1:7">
      <c r="A27" s="8">
        <v>42898</v>
      </c>
      <c r="B27" s="1" t="s">
        <v>36</v>
      </c>
      <c r="C27" s="1" t="s">
        <v>9</v>
      </c>
      <c r="D27" s="1" t="s">
        <v>8</v>
      </c>
      <c r="E27" s="2">
        <v>42783</v>
      </c>
      <c r="F27" s="2">
        <v>4500</v>
      </c>
      <c r="G27" s="2">
        <v>99</v>
      </c>
    </row>
    <row r="28" spans="1:7">
      <c r="A28" s="8">
        <v>42316</v>
      </c>
      <c r="B28" s="1" t="s">
        <v>37</v>
      </c>
      <c r="C28" s="1" t="s">
        <v>10</v>
      </c>
      <c r="D28" s="1" t="s">
        <v>8</v>
      </c>
      <c r="E28" s="2">
        <v>18600</v>
      </c>
      <c r="F28" s="2">
        <v>9850</v>
      </c>
      <c r="G28" s="2">
        <v>80</v>
      </c>
    </row>
    <row r="29" spans="1:7">
      <c r="A29" s="8">
        <v>41667</v>
      </c>
      <c r="B29" s="1" t="s">
        <v>38</v>
      </c>
      <c r="C29" s="1" t="s">
        <v>10</v>
      </c>
      <c r="D29" s="1" t="s">
        <v>12</v>
      </c>
      <c r="E29" s="2">
        <v>25050</v>
      </c>
      <c r="F29" s="2">
        <v>2825</v>
      </c>
      <c r="G29" s="2">
        <v>55</v>
      </c>
    </row>
    <row r="30" spans="1:7">
      <c r="A30" s="8">
        <v>42839</v>
      </c>
      <c r="B30" s="1" t="s">
        <v>39</v>
      </c>
      <c r="C30" s="1" t="s">
        <v>10</v>
      </c>
      <c r="D30" s="1" t="s">
        <v>6</v>
      </c>
      <c r="E30" s="2">
        <v>7031</v>
      </c>
      <c r="F30" s="2">
        <v>12164</v>
      </c>
      <c r="G30" s="2">
        <v>15</v>
      </c>
    </row>
    <row r="31" spans="1:7">
      <c r="A31" s="8">
        <v>43049</v>
      </c>
      <c r="B31" s="1" t="s">
        <v>40</v>
      </c>
      <c r="C31" s="1" t="s">
        <v>7</v>
      </c>
      <c r="D31" s="1" t="s">
        <v>12</v>
      </c>
      <c r="E31" s="2">
        <v>10978</v>
      </c>
      <c r="F31" s="2">
        <v>8718</v>
      </c>
      <c r="G31" s="2">
        <v>36</v>
      </c>
    </row>
    <row r="32" spans="1:7">
      <c r="A32" s="8">
        <v>42313</v>
      </c>
      <c r="B32" s="1" t="s">
        <v>41</v>
      </c>
      <c r="C32" s="1" t="s">
        <v>5</v>
      </c>
      <c r="D32" s="1" t="s">
        <v>12</v>
      </c>
      <c r="E32" s="2">
        <v>37557</v>
      </c>
      <c r="F32" s="2">
        <v>7983</v>
      </c>
      <c r="G32" s="2">
        <v>95</v>
      </c>
    </row>
    <row r="33" spans="1:7">
      <c r="A33" s="8">
        <v>42630</v>
      </c>
      <c r="B33" s="1" t="s">
        <v>42</v>
      </c>
      <c r="C33" s="1" t="s">
        <v>10</v>
      </c>
      <c r="D33" s="1" t="s">
        <v>8</v>
      </c>
      <c r="E33" s="2">
        <v>25209</v>
      </c>
      <c r="F33" s="2">
        <v>8296</v>
      </c>
      <c r="G33" s="2">
        <v>18</v>
      </c>
    </row>
    <row r="34" spans="1:7">
      <c r="A34" s="8">
        <v>42384</v>
      </c>
      <c r="B34" s="1" t="s">
        <v>43</v>
      </c>
      <c r="C34" s="1" t="s">
        <v>7</v>
      </c>
      <c r="D34" s="1" t="s">
        <v>6</v>
      </c>
      <c r="E34" s="2">
        <v>33561</v>
      </c>
      <c r="F34" s="2">
        <v>5358</v>
      </c>
      <c r="G34" s="2">
        <v>48</v>
      </c>
    </row>
    <row r="35" spans="1:7">
      <c r="A35" s="8">
        <v>43017</v>
      </c>
      <c r="B35" s="1" t="s">
        <v>44</v>
      </c>
      <c r="C35" s="1" t="s">
        <v>7</v>
      </c>
      <c r="D35" s="1" t="s">
        <v>8</v>
      </c>
      <c r="E35" s="2">
        <v>44779</v>
      </c>
      <c r="F35" s="2">
        <v>2787</v>
      </c>
      <c r="G35" s="2">
        <v>80</v>
      </c>
    </row>
    <row r="36" spans="1:7">
      <c r="A36" s="8">
        <v>43017</v>
      </c>
      <c r="B36" s="1" t="s">
        <v>44</v>
      </c>
      <c r="C36" s="1" t="s">
        <v>9</v>
      </c>
      <c r="D36" s="1" t="s">
        <v>11</v>
      </c>
      <c r="E36" s="2">
        <v>6123</v>
      </c>
      <c r="F36" s="2">
        <v>6064</v>
      </c>
      <c r="G36" s="2">
        <v>54</v>
      </c>
    </row>
    <row r="37" spans="1:7">
      <c r="A37" s="8">
        <v>42261</v>
      </c>
      <c r="B37" s="1" t="s">
        <v>45</v>
      </c>
      <c r="C37" s="1" t="s">
        <v>9</v>
      </c>
      <c r="D37" s="1" t="s">
        <v>12</v>
      </c>
      <c r="E37" s="2">
        <v>6713</v>
      </c>
      <c r="F37" s="2">
        <v>8284</v>
      </c>
      <c r="G37" s="2">
        <v>70</v>
      </c>
    </row>
    <row r="38" spans="1:7">
      <c r="A38" s="8">
        <v>42873</v>
      </c>
      <c r="B38" s="1" t="s">
        <v>46</v>
      </c>
      <c r="C38" s="1" t="s">
        <v>9</v>
      </c>
      <c r="D38" s="1" t="s">
        <v>6</v>
      </c>
      <c r="E38" s="2">
        <v>45509</v>
      </c>
      <c r="F38" s="2">
        <v>6381</v>
      </c>
      <c r="G38" s="2">
        <v>16</v>
      </c>
    </row>
    <row r="39" spans="1:7">
      <c r="A39" s="8">
        <v>42458</v>
      </c>
      <c r="B39" s="1" t="s">
        <v>47</v>
      </c>
      <c r="C39" s="1" t="s">
        <v>9</v>
      </c>
      <c r="D39" s="1" t="s">
        <v>8</v>
      </c>
      <c r="E39" s="2">
        <v>9740</v>
      </c>
      <c r="F39" s="2">
        <v>3604</v>
      </c>
      <c r="G39" s="2">
        <v>99</v>
      </c>
    </row>
    <row r="40" spans="1:7">
      <c r="A40" s="8">
        <v>42458</v>
      </c>
      <c r="B40" s="1" t="s">
        <v>47</v>
      </c>
      <c r="C40" s="1" t="s">
        <v>5</v>
      </c>
      <c r="D40" s="1" t="s">
        <v>11</v>
      </c>
      <c r="E40" s="2">
        <v>17416</v>
      </c>
      <c r="F40" s="2">
        <v>5775</v>
      </c>
      <c r="G40" s="2">
        <v>39</v>
      </c>
    </row>
    <row r="41" spans="1:7">
      <c r="A41" s="8">
        <v>42461</v>
      </c>
      <c r="B41" s="1" t="s">
        <v>48</v>
      </c>
      <c r="C41" s="1" t="s">
        <v>9</v>
      </c>
      <c r="D41" s="1" t="s">
        <v>11</v>
      </c>
      <c r="E41" s="2">
        <v>18808</v>
      </c>
      <c r="F41" s="2">
        <v>3279</v>
      </c>
      <c r="G41" s="2">
        <v>11</v>
      </c>
    </row>
    <row r="42" spans="1:7">
      <c r="A42" s="8">
        <v>41946</v>
      </c>
      <c r="B42" s="1" t="s">
        <v>49</v>
      </c>
      <c r="C42" s="1" t="s">
        <v>9</v>
      </c>
      <c r="D42" s="1" t="s">
        <v>6</v>
      </c>
      <c r="E42" s="2">
        <v>47675</v>
      </c>
      <c r="F42" s="2">
        <v>12629</v>
      </c>
      <c r="G42" s="2">
        <v>45</v>
      </c>
    </row>
    <row r="43" spans="1:7">
      <c r="A43" s="8">
        <v>41946</v>
      </c>
      <c r="B43" s="1" t="s">
        <v>49</v>
      </c>
      <c r="C43" s="1" t="s">
        <v>7</v>
      </c>
      <c r="D43" s="1" t="s">
        <v>12</v>
      </c>
      <c r="E43" s="2">
        <v>7914</v>
      </c>
      <c r="F43" s="2">
        <v>7553</v>
      </c>
      <c r="G43" s="2">
        <v>47</v>
      </c>
    </row>
    <row r="44" spans="1:7">
      <c r="A44" s="8">
        <v>42505</v>
      </c>
      <c r="B44" s="1" t="s">
        <v>50</v>
      </c>
      <c r="C44" s="1" t="s">
        <v>5</v>
      </c>
      <c r="D44" s="1" t="s">
        <v>12</v>
      </c>
      <c r="E44" s="2">
        <v>41819</v>
      </c>
      <c r="F44" s="2">
        <v>14292</v>
      </c>
      <c r="G44" s="2">
        <v>81</v>
      </c>
    </row>
    <row r="45" spans="1:7">
      <c r="A45" s="8">
        <v>42684</v>
      </c>
      <c r="B45" s="1" t="s">
        <v>51</v>
      </c>
      <c r="C45" s="1" t="s">
        <v>5</v>
      </c>
      <c r="D45" s="1" t="s">
        <v>11</v>
      </c>
      <c r="E45" s="2">
        <v>7480</v>
      </c>
      <c r="F45" s="2">
        <v>3010</v>
      </c>
      <c r="G45" s="2">
        <v>66</v>
      </c>
    </row>
    <row r="46" spans="1:7">
      <c r="A46" s="8">
        <v>42684</v>
      </c>
      <c r="B46" s="1" t="s">
        <v>51</v>
      </c>
      <c r="C46" s="1" t="s">
        <v>5</v>
      </c>
      <c r="D46" s="1" t="s">
        <v>12</v>
      </c>
      <c r="E46" s="2">
        <v>7584</v>
      </c>
      <c r="F46" s="2">
        <v>13416</v>
      </c>
      <c r="G46" s="2">
        <v>5</v>
      </c>
    </row>
    <row r="47" spans="1:7">
      <c r="A47" s="8">
        <v>42801</v>
      </c>
      <c r="B47" s="1" t="s">
        <v>52</v>
      </c>
      <c r="C47" s="1" t="s">
        <v>10</v>
      </c>
      <c r="D47" s="1" t="s">
        <v>8</v>
      </c>
      <c r="E47" s="2">
        <v>40992</v>
      </c>
      <c r="F47" s="2">
        <v>2089</v>
      </c>
      <c r="G47" s="2">
        <v>20</v>
      </c>
    </row>
    <row r="48" spans="1:7">
      <c r="A48" s="8">
        <v>41947</v>
      </c>
      <c r="B48" s="1" t="s">
        <v>53</v>
      </c>
      <c r="C48" s="1" t="s">
        <v>9</v>
      </c>
      <c r="D48" s="1" t="s">
        <v>8</v>
      </c>
      <c r="E48" s="2">
        <v>12824</v>
      </c>
      <c r="F48" s="2">
        <v>10093</v>
      </c>
      <c r="G48" s="2">
        <v>16</v>
      </c>
    </row>
    <row r="49" spans="1:7">
      <c r="A49" s="8">
        <v>43065</v>
      </c>
      <c r="B49" s="1" t="s">
        <v>54</v>
      </c>
      <c r="C49" s="1" t="s">
        <v>9</v>
      </c>
      <c r="D49" s="1" t="s">
        <v>11</v>
      </c>
      <c r="E49" s="2">
        <v>14677</v>
      </c>
      <c r="F49" s="2">
        <v>10027</v>
      </c>
      <c r="G49" s="2">
        <v>78</v>
      </c>
    </row>
    <row r="50" spans="1:7">
      <c r="A50" s="8">
        <v>42461</v>
      </c>
      <c r="B50" s="1" t="s">
        <v>55</v>
      </c>
      <c r="C50" s="1" t="s">
        <v>5</v>
      </c>
      <c r="D50" s="1" t="s">
        <v>6</v>
      </c>
      <c r="E50" s="2">
        <v>45384</v>
      </c>
      <c r="F50" s="2">
        <v>2494</v>
      </c>
      <c r="G50" s="2">
        <v>83</v>
      </c>
    </row>
    <row r="51" spans="1:7">
      <c r="A51" s="8">
        <v>41820</v>
      </c>
      <c r="B51" s="1" t="s">
        <v>56</v>
      </c>
      <c r="C51" s="1" t="s">
        <v>9</v>
      </c>
      <c r="D51" s="1" t="s">
        <v>8</v>
      </c>
      <c r="E51" s="2">
        <v>34891</v>
      </c>
      <c r="F51" s="2">
        <v>1041</v>
      </c>
      <c r="G51" s="2">
        <v>43</v>
      </c>
    </row>
    <row r="52" spans="1:7">
      <c r="A52" s="8">
        <v>42730</v>
      </c>
      <c r="B52" s="1" t="s">
        <v>57</v>
      </c>
      <c r="C52" s="1" t="s">
        <v>5</v>
      </c>
      <c r="D52" s="1" t="s">
        <v>6</v>
      </c>
      <c r="E52" s="2">
        <v>32236</v>
      </c>
      <c r="F52" s="2">
        <v>13050</v>
      </c>
      <c r="G52" s="2">
        <v>29</v>
      </c>
    </row>
    <row r="53" spans="1:7">
      <c r="A53" s="8">
        <v>42542</v>
      </c>
      <c r="B53" s="1" t="s">
        <v>58</v>
      </c>
      <c r="C53" s="1" t="s">
        <v>7</v>
      </c>
      <c r="D53" s="1" t="s">
        <v>6</v>
      </c>
      <c r="E53" s="2">
        <v>20086</v>
      </c>
      <c r="F53" s="2">
        <v>9180</v>
      </c>
      <c r="G53" s="2">
        <v>25</v>
      </c>
    </row>
    <row r="54" spans="1:7">
      <c r="A54" s="8">
        <v>42542</v>
      </c>
      <c r="B54" s="1" t="s">
        <v>58</v>
      </c>
      <c r="C54" s="1" t="s">
        <v>5</v>
      </c>
      <c r="D54" s="1" t="s">
        <v>8</v>
      </c>
      <c r="E54" s="2">
        <v>46544</v>
      </c>
      <c r="F54" s="2">
        <v>3246</v>
      </c>
      <c r="G54" s="2">
        <v>47</v>
      </c>
    </row>
    <row r="55" spans="1:7">
      <c r="A55" s="8">
        <v>42617</v>
      </c>
      <c r="B55" s="1" t="s">
        <v>59</v>
      </c>
      <c r="C55" s="1" t="s">
        <v>9</v>
      </c>
      <c r="D55" s="1" t="s">
        <v>8</v>
      </c>
      <c r="E55" s="2">
        <v>46656</v>
      </c>
      <c r="F55" s="2">
        <v>7761</v>
      </c>
      <c r="G55" s="2">
        <v>91</v>
      </c>
    </row>
    <row r="56" spans="1:7">
      <c r="A56" s="8">
        <v>42971</v>
      </c>
      <c r="B56" s="1" t="s">
        <v>60</v>
      </c>
      <c r="C56" s="1" t="s">
        <v>10</v>
      </c>
      <c r="D56" s="1" t="s">
        <v>6</v>
      </c>
      <c r="E56" s="2">
        <v>10720</v>
      </c>
      <c r="F56" s="2">
        <v>14900</v>
      </c>
      <c r="G56" s="2">
        <v>36</v>
      </c>
    </row>
    <row r="57" spans="1:7">
      <c r="A57" s="8">
        <v>42971</v>
      </c>
      <c r="B57" s="1" t="s">
        <v>60</v>
      </c>
      <c r="C57" s="1" t="s">
        <v>10</v>
      </c>
      <c r="D57" s="1" t="s">
        <v>12</v>
      </c>
      <c r="E57" s="2">
        <v>38270</v>
      </c>
      <c r="F57" s="2">
        <v>8624</v>
      </c>
      <c r="G57" s="2">
        <v>54</v>
      </c>
    </row>
    <row r="58" spans="1:7">
      <c r="A58" s="8">
        <v>42464</v>
      </c>
      <c r="B58" s="1" t="s">
        <v>61</v>
      </c>
      <c r="C58" s="1" t="s">
        <v>5</v>
      </c>
      <c r="D58" s="1" t="s">
        <v>12</v>
      </c>
      <c r="E58" s="2">
        <v>45820</v>
      </c>
      <c r="F58" s="2">
        <v>5791</v>
      </c>
      <c r="G58" s="2">
        <v>97</v>
      </c>
    </row>
    <row r="59" spans="1:7">
      <c r="A59" s="8">
        <v>42111</v>
      </c>
      <c r="B59" s="1" t="s">
        <v>62</v>
      </c>
      <c r="C59" s="1" t="s">
        <v>5</v>
      </c>
      <c r="D59" s="1" t="s">
        <v>12</v>
      </c>
      <c r="E59" s="2">
        <v>13562</v>
      </c>
      <c r="F59" s="2">
        <v>1215</v>
      </c>
      <c r="G59" s="2">
        <v>58</v>
      </c>
    </row>
    <row r="60" spans="1:7">
      <c r="A60" s="8">
        <v>42341</v>
      </c>
      <c r="B60" s="1" t="s">
        <v>63</v>
      </c>
      <c r="C60" s="1" t="s">
        <v>5</v>
      </c>
      <c r="D60" s="1" t="s">
        <v>6</v>
      </c>
      <c r="E60" s="2">
        <v>29056</v>
      </c>
      <c r="F60" s="2">
        <v>11275</v>
      </c>
      <c r="G60" s="2">
        <v>39</v>
      </c>
    </row>
    <row r="61" spans="1:7">
      <c r="A61" s="8">
        <v>41819</v>
      </c>
      <c r="B61" s="1" t="s">
        <v>64</v>
      </c>
      <c r="C61" s="1" t="s">
        <v>5</v>
      </c>
      <c r="D61" s="1" t="s">
        <v>8</v>
      </c>
      <c r="E61" s="2">
        <v>35746</v>
      </c>
      <c r="F61" s="2">
        <v>13406</v>
      </c>
      <c r="G61" s="2">
        <v>70</v>
      </c>
    </row>
    <row r="62" spans="1:7">
      <c r="A62" s="8">
        <v>42998</v>
      </c>
      <c r="B62" s="1" t="s">
        <v>65</v>
      </c>
      <c r="C62" s="1" t="s">
        <v>10</v>
      </c>
      <c r="D62" s="1" t="s">
        <v>12</v>
      </c>
      <c r="E62" s="2">
        <v>20537</v>
      </c>
      <c r="F62" s="2">
        <v>8782</v>
      </c>
      <c r="G62" s="2">
        <v>37</v>
      </c>
    </row>
    <row r="63" spans="1:7">
      <c r="A63" s="8">
        <v>42391</v>
      </c>
      <c r="B63" s="1" t="s">
        <v>66</v>
      </c>
      <c r="C63" s="1" t="s">
        <v>9</v>
      </c>
      <c r="D63" s="1" t="s">
        <v>12</v>
      </c>
      <c r="E63" s="2">
        <v>28193</v>
      </c>
      <c r="F63" s="2">
        <v>14749</v>
      </c>
      <c r="G63" s="2">
        <v>76</v>
      </c>
    </row>
    <row r="64" spans="1:7">
      <c r="A64" s="8">
        <v>41831</v>
      </c>
      <c r="B64" s="1" t="s">
        <v>67</v>
      </c>
      <c r="C64" s="1" t="s">
        <v>5</v>
      </c>
      <c r="D64" s="1" t="s">
        <v>8</v>
      </c>
      <c r="E64" s="2">
        <v>24395</v>
      </c>
      <c r="F64" s="2">
        <v>6540</v>
      </c>
      <c r="G64" s="2">
        <v>74</v>
      </c>
    </row>
    <row r="65" spans="1:7">
      <c r="A65" s="8">
        <v>42718</v>
      </c>
      <c r="B65" s="1" t="s">
        <v>68</v>
      </c>
      <c r="C65" s="1" t="s">
        <v>7</v>
      </c>
      <c r="D65" s="1" t="s">
        <v>11</v>
      </c>
      <c r="E65" s="2">
        <v>46898</v>
      </c>
      <c r="F65" s="2">
        <v>7654</v>
      </c>
      <c r="G65" s="2">
        <v>7</v>
      </c>
    </row>
    <row r="66" spans="1:7">
      <c r="A66" s="8">
        <v>43089</v>
      </c>
      <c r="B66" s="1" t="s">
        <v>69</v>
      </c>
      <c r="C66" s="1" t="s">
        <v>10</v>
      </c>
      <c r="D66" s="1" t="s">
        <v>6</v>
      </c>
      <c r="E66" s="2">
        <v>16260</v>
      </c>
      <c r="F66" s="2">
        <v>4456</v>
      </c>
      <c r="G66" s="2">
        <v>30</v>
      </c>
    </row>
    <row r="67" spans="1:7">
      <c r="A67" s="8">
        <v>42706</v>
      </c>
      <c r="B67" s="1" t="s">
        <v>70</v>
      </c>
      <c r="C67" s="1" t="s">
        <v>5</v>
      </c>
      <c r="D67" s="1" t="s">
        <v>11</v>
      </c>
      <c r="E67" s="2">
        <v>8140</v>
      </c>
      <c r="F67" s="2">
        <v>9466</v>
      </c>
      <c r="G67" s="2">
        <v>93</v>
      </c>
    </row>
    <row r="68" spans="1:7">
      <c r="A68" s="8">
        <v>42706</v>
      </c>
      <c r="B68" s="1" t="s">
        <v>70</v>
      </c>
      <c r="C68" s="1" t="s">
        <v>9</v>
      </c>
      <c r="D68" s="1" t="s">
        <v>8</v>
      </c>
      <c r="E68" s="2">
        <v>9895</v>
      </c>
      <c r="F68" s="2">
        <v>14863</v>
      </c>
      <c r="G68" s="2">
        <v>87</v>
      </c>
    </row>
    <row r="69" spans="1:7">
      <c r="A69" s="8">
        <v>43080</v>
      </c>
      <c r="B69" s="1" t="s">
        <v>71</v>
      </c>
      <c r="C69" s="1" t="s">
        <v>10</v>
      </c>
      <c r="D69" s="1" t="s">
        <v>12</v>
      </c>
      <c r="E69" s="2">
        <v>28308</v>
      </c>
      <c r="F69" s="2">
        <v>2603</v>
      </c>
      <c r="G69" s="2">
        <v>72</v>
      </c>
    </row>
    <row r="70" spans="1:7">
      <c r="A70" s="8">
        <v>42912</v>
      </c>
      <c r="B70" s="1" t="s">
        <v>72</v>
      </c>
      <c r="C70" s="1" t="s">
        <v>5</v>
      </c>
      <c r="D70" s="1" t="s">
        <v>8</v>
      </c>
      <c r="E70" s="2">
        <v>41180</v>
      </c>
      <c r="F70" s="2">
        <v>1756</v>
      </c>
      <c r="G70" s="2">
        <v>47</v>
      </c>
    </row>
    <row r="71" spans="1:7">
      <c r="A71" s="8">
        <v>41782</v>
      </c>
      <c r="B71" s="1" t="s">
        <v>73</v>
      </c>
      <c r="C71" s="1" t="s">
        <v>9</v>
      </c>
      <c r="D71" s="1" t="s">
        <v>6</v>
      </c>
      <c r="E71" s="2">
        <v>7776</v>
      </c>
      <c r="F71" s="2">
        <v>7307</v>
      </c>
      <c r="G71" s="2">
        <v>99</v>
      </c>
    </row>
    <row r="72" spans="1:7">
      <c r="A72" s="8">
        <v>42772</v>
      </c>
      <c r="B72" s="1" t="s">
        <v>74</v>
      </c>
      <c r="C72" s="1" t="s">
        <v>9</v>
      </c>
      <c r="D72" s="1" t="s">
        <v>11</v>
      </c>
      <c r="E72" s="2">
        <v>23761</v>
      </c>
      <c r="F72" s="2">
        <v>2007</v>
      </c>
      <c r="G72" s="2">
        <v>31</v>
      </c>
    </row>
    <row r="73" spans="1:7">
      <c r="A73" s="8">
        <v>42685</v>
      </c>
      <c r="B73" s="1" t="s">
        <v>75</v>
      </c>
      <c r="C73" s="1" t="s">
        <v>9</v>
      </c>
      <c r="D73" s="1" t="s">
        <v>8</v>
      </c>
      <c r="E73" s="2">
        <v>17142</v>
      </c>
      <c r="F73" s="2">
        <v>14871</v>
      </c>
      <c r="G73" s="2">
        <v>11</v>
      </c>
    </row>
    <row r="74" spans="1:7">
      <c r="A74" s="8">
        <v>42685</v>
      </c>
      <c r="B74" s="1" t="s">
        <v>75</v>
      </c>
      <c r="C74" s="1" t="s">
        <v>7</v>
      </c>
      <c r="D74" s="1" t="s">
        <v>8</v>
      </c>
      <c r="E74" s="2">
        <v>33569</v>
      </c>
      <c r="F74" s="2">
        <v>7381</v>
      </c>
      <c r="G74" s="2">
        <v>54</v>
      </c>
    </row>
    <row r="75" spans="1:7">
      <c r="A75" s="8">
        <v>43086</v>
      </c>
      <c r="B75" s="1" t="s">
        <v>76</v>
      </c>
      <c r="C75" s="1" t="s">
        <v>9</v>
      </c>
      <c r="D75" s="1" t="s">
        <v>11</v>
      </c>
      <c r="E75" s="2">
        <v>19510</v>
      </c>
      <c r="F75" s="2">
        <v>1593</v>
      </c>
      <c r="G75" s="2">
        <v>28</v>
      </c>
    </row>
    <row r="76" spans="1:7">
      <c r="A76" s="8">
        <v>42479</v>
      </c>
      <c r="B76" s="1" t="s">
        <v>77</v>
      </c>
      <c r="C76" s="1" t="s">
        <v>10</v>
      </c>
      <c r="D76" s="1" t="s">
        <v>11</v>
      </c>
      <c r="E76" s="2">
        <v>11532</v>
      </c>
      <c r="F76" s="2">
        <v>6209</v>
      </c>
      <c r="G76" s="2">
        <v>57</v>
      </c>
    </row>
    <row r="77" spans="1:7">
      <c r="A77" s="8">
        <v>42437</v>
      </c>
      <c r="B77" s="1" t="s">
        <v>78</v>
      </c>
      <c r="C77" s="1" t="s">
        <v>10</v>
      </c>
      <c r="D77" s="1" t="s">
        <v>6</v>
      </c>
      <c r="E77" s="2">
        <v>20164</v>
      </c>
      <c r="F77" s="2">
        <v>10379</v>
      </c>
      <c r="G77" s="2">
        <v>92</v>
      </c>
    </row>
    <row r="78" spans="1:7">
      <c r="A78" s="8">
        <v>41905</v>
      </c>
      <c r="B78" s="1" t="s">
        <v>79</v>
      </c>
      <c r="C78" s="1" t="s">
        <v>7</v>
      </c>
      <c r="D78" s="1" t="s">
        <v>6</v>
      </c>
      <c r="E78" s="2">
        <v>24703</v>
      </c>
      <c r="F78" s="2">
        <v>10195</v>
      </c>
      <c r="G78" s="2">
        <v>43</v>
      </c>
    </row>
    <row r="79" spans="1:7">
      <c r="A79" s="8">
        <v>41963</v>
      </c>
      <c r="B79" s="1" t="s">
        <v>80</v>
      </c>
      <c r="C79" s="1" t="s">
        <v>10</v>
      </c>
      <c r="D79" s="1" t="s">
        <v>12</v>
      </c>
      <c r="E79" s="2">
        <v>43009</v>
      </c>
      <c r="F79" s="2">
        <v>14845</v>
      </c>
      <c r="G79" s="2">
        <v>72</v>
      </c>
    </row>
    <row r="80" spans="1:7">
      <c r="A80" s="8">
        <v>42009</v>
      </c>
      <c r="B80" s="1" t="s">
        <v>81</v>
      </c>
      <c r="C80" s="1" t="s">
        <v>10</v>
      </c>
      <c r="D80" s="1" t="s">
        <v>6</v>
      </c>
      <c r="E80" s="2">
        <v>35048</v>
      </c>
      <c r="F80" s="2">
        <v>2035</v>
      </c>
      <c r="G80" s="2">
        <v>7</v>
      </c>
    </row>
    <row r="81" spans="1:7">
      <c r="A81" s="8">
        <v>41789</v>
      </c>
      <c r="B81" s="1" t="s">
        <v>82</v>
      </c>
      <c r="C81" s="1" t="s">
        <v>5</v>
      </c>
      <c r="D81" s="1" t="s">
        <v>12</v>
      </c>
      <c r="E81" s="2">
        <v>36202</v>
      </c>
      <c r="F81" s="2">
        <v>14669</v>
      </c>
      <c r="G81" s="2">
        <v>46</v>
      </c>
    </row>
    <row r="82" spans="1:7">
      <c r="A82" s="8">
        <v>42939</v>
      </c>
      <c r="B82" s="1" t="s">
        <v>83</v>
      </c>
      <c r="C82" s="1" t="s">
        <v>10</v>
      </c>
      <c r="D82" s="1" t="s">
        <v>11</v>
      </c>
      <c r="E82" s="2">
        <v>6784</v>
      </c>
      <c r="F82" s="2">
        <v>13916</v>
      </c>
      <c r="G82" s="2">
        <v>43</v>
      </c>
    </row>
    <row r="83" spans="1:7">
      <c r="A83" s="8">
        <v>42327</v>
      </c>
      <c r="B83" s="1" t="s">
        <v>84</v>
      </c>
      <c r="C83" s="1" t="s">
        <v>7</v>
      </c>
      <c r="D83" s="1" t="s">
        <v>8</v>
      </c>
      <c r="E83" s="2">
        <v>34374</v>
      </c>
      <c r="F83" s="2">
        <v>9786</v>
      </c>
      <c r="G83" s="2">
        <v>55</v>
      </c>
    </row>
    <row r="84" spans="1:7">
      <c r="A84" s="8">
        <v>42696</v>
      </c>
      <c r="B84" s="1" t="s">
        <v>85</v>
      </c>
      <c r="C84" s="1" t="s">
        <v>9</v>
      </c>
      <c r="D84" s="1" t="s">
        <v>8</v>
      </c>
      <c r="E84" s="2">
        <v>41582</v>
      </c>
      <c r="F84" s="2">
        <v>1063</v>
      </c>
      <c r="G84" s="2">
        <v>43</v>
      </c>
    </row>
    <row r="85" spans="1:7">
      <c r="A85" s="8">
        <v>41883</v>
      </c>
      <c r="B85" s="1" t="s">
        <v>86</v>
      </c>
      <c r="C85" s="1" t="s">
        <v>7</v>
      </c>
      <c r="D85" s="1" t="s">
        <v>6</v>
      </c>
      <c r="E85" s="2">
        <v>27286</v>
      </c>
      <c r="F85" s="2">
        <v>13938</v>
      </c>
      <c r="G85" s="2">
        <v>45</v>
      </c>
    </row>
    <row r="86" spans="1:7">
      <c r="A86" s="8">
        <v>42003</v>
      </c>
      <c r="B86" s="1" t="s">
        <v>87</v>
      </c>
      <c r="C86" s="1" t="s">
        <v>5</v>
      </c>
      <c r="D86" s="1" t="s">
        <v>12</v>
      </c>
      <c r="E86" s="2">
        <v>25730</v>
      </c>
      <c r="F86" s="2">
        <v>6617</v>
      </c>
      <c r="G86" s="2">
        <v>87</v>
      </c>
    </row>
    <row r="87" spans="1:7">
      <c r="A87" s="8">
        <v>42726</v>
      </c>
      <c r="B87" s="1" t="s">
        <v>88</v>
      </c>
      <c r="C87" s="1" t="s">
        <v>10</v>
      </c>
      <c r="D87" s="1" t="s">
        <v>12</v>
      </c>
      <c r="E87" s="2">
        <v>10762</v>
      </c>
      <c r="F87" s="2">
        <v>7809</v>
      </c>
      <c r="G87" s="2">
        <v>56</v>
      </c>
    </row>
    <row r="88" spans="1:7">
      <c r="A88" s="8">
        <v>42254</v>
      </c>
      <c r="B88" s="1" t="s">
        <v>89</v>
      </c>
      <c r="C88" s="1" t="s">
        <v>7</v>
      </c>
      <c r="D88" s="1" t="s">
        <v>12</v>
      </c>
      <c r="E88" s="2">
        <v>13857</v>
      </c>
      <c r="F88" s="2">
        <v>10826</v>
      </c>
      <c r="G88" s="2">
        <v>10</v>
      </c>
    </row>
    <row r="89" spans="1:7">
      <c r="A89" s="8">
        <v>42058</v>
      </c>
      <c r="B89" s="1" t="s">
        <v>90</v>
      </c>
      <c r="C89" s="1" t="s">
        <v>9</v>
      </c>
      <c r="D89" s="1" t="s">
        <v>6</v>
      </c>
      <c r="E89" s="2">
        <v>47267</v>
      </c>
      <c r="F89" s="2">
        <v>5703</v>
      </c>
      <c r="G89" s="2">
        <v>13</v>
      </c>
    </row>
    <row r="90" spans="1:7">
      <c r="A90" s="8">
        <v>42673</v>
      </c>
      <c r="B90" s="1" t="s">
        <v>91</v>
      </c>
      <c r="C90" s="1" t="s">
        <v>10</v>
      </c>
      <c r="D90" s="1" t="s">
        <v>8</v>
      </c>
      <c r="E90" s="2">
        <v>11213</v>
      </c>
      <c r="F90" s="2">
        <v>10400</v>
      </c>
      <c r="G90" s="2">
        <v>68</v>
      </c>
    </row>
    <row r="91" spans="1:7">
      <c r="A91" s="8">
        <v>42684</v>
      </c>
      <c r="B91" s="1" t="s">
        <v>92</v>
      </c>
      <c r="C91" s="1" t="s">
        <v>7</v>
      </c>
      <c r="D91" s="1" t="s">
        <v>12</v>
      </c>
      <c r="E91" s="2">
        <v>8958</v>
      </c>
      <c r="F91" s="2">
        <v>10788</v>
      </c>
      <c r="G91" s="2">
        <v>84</v>
      </c>
    </row>
    <row r="92" spans="1:7">
      <c r="A92" s="8">
        <v>42968</v>
      </c>
      <c r="B92" s="1" t="s">
        <v>68</v>
      </c>
      <c r="C92" s="1" t="s">
        <v>5</v>
      </c>
      <c r="D92" s="1" t="s">
        <v>6</v>
      </c>
      <c r="E92" s="2">
        <v>12310</v>
      </c>
      <c r="F92" s="2">
        <v>6564</v>
      </c>
      <c r="G92" s="2">
        <v>49</v>
      </c>
    </row>
    <row r="93" spans="1:7">
      <c r="A93" s="8">
        <v>42968</v>
      </c>
      <c r="B93" s="1" t="s">
        <v>68</v>
      </c>
      <c r="C93" s="1" t="s">
        <v>5</v>
      </c>
      <c r="D93" s="1" t="s">
        <v>8</v>
      </c>
      <c r="E93" s="2">
        <v>43355</v>
      </c>
      <c r="F93" s="2">
        <v>13670</v>
      </c>
      <c r="G93" s="2">
        <v>46</v>
      </c>
    </row>
    <row r="94" spans="1:7">
      <c r="A94" s="8">
        <v>42608</v>
      </c>
      <c r="B94" s="1" t="s">
        <v>93</v>
      </c>
      <c r="C94" s="1" t="s">
        <v>7</v>
      </c>
      <c r="D94" s="1" t="s">
        <v>6</v>
      </c>
      <c r="E94" s="2">
        <v>49330</v>
      </c>
      <c r="F94" s="2">
        <v>12794</v>
      </c>
      <c r="G94" s="2">
        <v>70</v>
      </c>
    </row>
    <row r="95" spans="1:7">
      <c r="A95" s="8">
        <v>42670</v>
      </c>
      <c r="B95" s="1" t="s">
        <v>94</v>
      </c>
      <c r="C95" s="1" t="s">
        <v>5</v>
      </c>
      <c r="D95" s="1" t="s">
        <v>11</v>
      </c>
      <c r="E95" s="2">
        <v>30528</v>
      </c>
      <c r="F95" s="2">
        <v>1056</v>
      </c>
      <c r="G95" s="2">
        <v>39</v>
      </c>
    </row>
    <row r="96" spans="1:7">
      <c r="A96" s="8">
        <v>42521</v>
      </c>
      <c r="B96" s="1" t="s">
        <v>95</v>
      </c>
      <c r="C96" s="1" t="s">
        <v>10</v>
      </c>
      <c r="D96" s="1" t="s">
        <v>11</v>
      </c>
      <c r="E96" s="2">
        <v>28826</v>
      </c>
      <c r="F96" s="2">
        <v>7617</v>
      </c>
      <c r="G96" s="2">
        <v>42</v>
      </c>
    </row>
    <row r="97" spans="1:7">
      <c r="A97" s="8">
        <v>41904</v>
      </c>
      <c r="B97" s="1" t="s">
        <v>58</v>
      </c>
      <c r="C97" s="1" t="s">
        <v>10</v>
      </c>
      <c r="D97" s="1" t="s">
        <v>6</v>
      </c>
      <c r="E97" s="2">
        <v>10728</v>
      </c>
      <c r="F97" s="2">
        <v>11789</v>
      </c>
      <c r="G97" s="2">
        <v>57</v>
      </c>
    </row>
    <row r="98" spans="1:7">
      <c r="A98" s="8">
        <v>41995</v>
      </c>
      <c r="B98" s="1" t="s">
        <v>96</v>
      </c>
      <c r="C98" s="1" t="s">
        <v>9</v>
      </c>
      <c r="D98" s="1" t="s">
        <v>8</v>
      </c>
      <c r="E98" s="2">
        <v>5812</v>
      </c>
      <c r="F98" s="2">
        <v>14214</v>
      </c>
      <c r="G98" s="2">
        <v>87</v>
      </c>
    </row>
    <row r="99" spans="1:7">
      <c r="A99" s="8">
        <v>42905</v>
      </c>
      <c r="B99" s="1" t="s">
        <v>97</v>
      </c>
      <c r="C99" s="1" t="s">
        <v>5</v>
      </c>
      <c r="D99" s="1" t="s">
        <v>12</v>
      </c>
      <c r="E99" s="2">
        <v>32186</v>
      </c>
      <c r="F99" s="2">
        <v>7458</v>
      </c>
      <c r="G99" s="2">
        <v>91</v>
      </c>
    </row>
    <row r="100" spans="1:7">
      <c r="A100" s="8">
        <v>42492</v>
      </c>
      <c r="B100" s="1" t="s">
        <v>91</v>
      </c>
      <c r="C100" s="1" t="s">
        <v>9</v>
      </c>
      <c r="D100" s="1" t="s">
        <v>6</v>
      </c>
      <c r="E100" s="2">
        <v>37491</v>
      </c>
      <c r="F100" s="2">
        <v>6518</v>
      </c>
      <c r="G100" s="2">
        <v>68</v>
      </c>
    </row>
    <row r="101" spans="1:7">
      <c r="A101" s="8">
        <v>42190</v>
      </c>
      <c r="B101" s="1" t="s">
        <v>98</v>
      </c>
      <c r="C101" s="1" t="s">
        <v>5</v>
      </c>
      <c r="D101" s="1" t="s">
        <v>12</v>
      </c>
      <c r="E101" s="2">
        <v>37212</v>
      </c>
      <c r="F101" s="2">
        <v>3277</v>
      </c>
      <c r="G101" s="2">
        <v>52</v>
      </c>
    </row>
    <row r="102" spans="1:7">
      <c r="A102" s="8">
        <v>42209</v>
      </c>
      <c r="B102" s="1" t="s">
        <v>99</v>
      </c>
      <c r="C102" s="1" t="s">
        <v>9</v>
      </c>
      <c r="D102" s="1" t="s">
        <v>12</v>
      </c>
      <c r="E102" s="2">
        <v>38719</v>
      </c>
      <c r="F102" s="2">
        <v>3872</v>
      </c>
      <c r="G102" s="2">
        <v>92</v>
      </c>
    </row>
    <row r="103" spans="1:7">
      <c r="A103" s="8">
        <v>42658</v>
      </c>
      <c r="B103" s="1" t="s">
        <v>100</v>
      </c>
      <c r="C103" s="1" t="s">
        <v>9</v>
      </c>
      <c r="D103" s="1" t="s">
        <v>11</v>
      </c>
      <c r="E103" s="2">
        <v>12488</v>
      </c>
      <c r="F103" s="2">
        <v>10211</v>
      </c>
      <c r="G103" s="2">
        <v>55</v>
      </c>
    </row>
    <row r="104" spans="1:7">
      <c r="A104" s="8">
        <v>43051</v>
      </c>
      <c r="B104" s="1" t="s">
        <v>101</v>
      </c>
      <c r="C104" s="1" t="s">
        <v>7</v>
      </c>
      <c r="D104" s="1" t="s">
        <v>12</v>
      </c>
      <c r="E104" s="2">
        <v>14337</v>
      </c>
      <c r="F104" s="2">
        <v>1668</v>
      </c>
      <c r="G104" s="2">
        <v>38</v>
      </c>
    </row>
    <row r="105" spans="1:7">
      <c r="A105" s="8">
        <v>42252</v>
      </c>
      <c r="B105" s="1" t="s">
        <v>102</v>
      </c>
      <c r="C105" s="1" t="s">
        <v>5</v>
      </c>
      <c r="D105" s="1" t="s">
        <v>6</v>
      </c>
      <c r="E105" s="2">
        <v>37877</v>
      </c>
      <c r="F105" s="2">
        <v>14454</v>
      </c>
      <c r="G105" s="2">
        <v>60</v>
      </c>
    </row>
    <row r="106" spans="1:7">
      <c r="A106" s="8">
        <v>41791</v>
      </c>
      <c r="B106" s="1" t="s">
        <v>103</v>
      </c>
      <c r="C106" s="1" t="s">
        <v>10</v>
      </c>
      <c r="D106" s="1" t="s">
        <v>12</v>
      </c>
      <c r="E106" s="2">
        <v>38387</v>
      </c>
      <c r="F106" s="2">
        <v>1586</v>
      </c>
      <c r="G106" s="2">
        <v>96</v>
      </c>
    </row>
    <row r="107" spans="1:7">
      <c r="A107" s="8">
        <v>43022</v>
      </c>
      <c r="B107" s="1" t="s">
        <v>104</v>
      </c>
      <c r="C107" s="1" t="s">
        <v>10</v>
      </c>
      <c r="D107" s="1" t="s">
        <v>8</v>
      </c>
      <c r="E107" s="2">
        <v>21681</v>
      </c>
      <c r="F107" s="2">
        <v>8649</v>
      </c>
      <c r="G107" s="2">
        <v>67</v>
      </c>
    </row>
    <row r="108" spans="1:7">
      <c r="A108" s="8">
        <v>42335</v>
      </c>
      <c r="B108" s="1" t="s">
        <v>105</v>
      </c>
      <c r="C108" s="1" t="s">
        <v>9</v>
      </c>
      <c r="D108" s="1" t="s">
        <v>11</v>
      </c>
      <c r="E108" s="2">
        <v>43876</v>
      </c>
      <c r="F108" s="2">
        <v>6089</v>
      </c>
      <c r="G108" s="2">
        <v>10</v>
      </c>
    </row>
    <row r="109" spans="1:7">
      <c r="A109" s="8">
        <v>42898</v>
      </c>
      <c r="B109" s="1" t="s">
        <v>105</v>
      </c>
      <c r="C109" s="1" t="s">
        <v>7</v>
      </c>
      <c r="D109" s="1" t="s">
        <v>6</v>
      </c>
      <c r="E109" s="2">
        <v>11162</v>
      </c>
      <c r="F109" s="2">
        <v>13404</v>
      </c>
      <c r="G109" s="2">
        <v>19</v>
      </c>
    </row>
    <row r="110" spans="1:7">
      <c r="A110" s="8">
        <v>42505</v>
      </c>
      <c r="B110" s="1" t="s">
        <v>106</v>
      </c>
      <c r="C110" s="1" t="s">
        <v>7</v>
      </c>
      <c r="D110" s="1" t="s">
        <v>6</v>
      </c>
      <c r="E110" s="2">
        <v>15521</v>
      </c>
      <c r="F110" s="2">
        <v>2390</v>
      </c>
      <c r="G110" s="2">
        <v>48</v>
      </c>
    </row>
    <row r="111" spans="1:7">
      <c r="A111" s="8">
        <v>42442</v>
      </c>
      <c r="B111" s="1" t="s">
        <v>107</v>
      </c>
      <c r="C111" s="1" t="s">
        <v>7</v>
      </c>
      <c r="D111" s="1" t="s">
        <v>8</v>
      </c>
      <c r="E111" s="2">
        <v>40287</v>
      </c>
      <c r="F111" s="2">
        <v>6166</v>
      </c>
      <c r="G111" s="2">
        <v>94</v>
      </c>
    </row>
    <row r="112" spans="1:7">
      <c r="A112" s="8">
        <v>42658</v>
      </c>
      <c r="B112" s="1" t="s">
        <v>108</v>
      </c>
      <c r="C112" s="1" t="s">
        <v>7</v>
      </c>
      <c r="D112" s="1" t="s">
        <v>6</v>
      </c>
      <c r="E112" s="2">
        <v>21288</v>
      </c>
      <c r="F112" s="2">
        <v>8540</v>
      </c>
      <c r="G112" s="2">
        <v>53</v>
      </c>
    </row>
    <row r="113" spans="1:7">
      <c r="A113" s="8">
        <v>42756</v>
      </c>
      <c r="B113" s="1" t="s">
        <v>109</v>
      </c>
      <c r="C113" s="1" t="s">
        <v>9</v>
      </c>
      <c r="D113" s="1" t="s">
        <v>12</v>
      </c>
      <c r="E113" s="2">
        <v>8884</v>
      </c>
      <c r="F113" s="2">
        <v>6686</v>
      </c>
      <c r="G113" s="2">
        <v>30</v>
      </c>
    </row>
    <row r="114" spans="1:7">
      <c r="A114" s="8">
        <v>42756</v>
      </c>
      <c r="B114" s="1" t="s">
        <v>110</v>
      </c>
      <c r="C114" s="1" t="s">
        <v>5</v>
      </c>
      <c r="D114" s="1" t="s">
        <v>8</v>
      </c>
      <c r="E114" s="2">
        <v>34915</v>
      </c>
      <c r="F114" s="2">
        <v>2727</v>
      </c>
      <c r="G114" s="2">
        <v>97</v>
      </c>
    </row>
    <row r="115" spans="1:7">
      <c r="A115" s="8">
        <v>42248</v>
      </c>
      <c r="B115" s="1" t="s">
        <v>111</v>
      </c>
      <c r="C115" s="1" t="s">
        <v>10</v>
      </c>
      <c r="D115" s="1" t="s">
        <v>6</v>
      </c>
      <c r="E115" s="2">
        <v>49660</v>
      </c>
      <c r="F115" s="2">
        <v>10267</v>
      </c>
      <c r="G115" s="2">
        <v>48</v>
      </c>
    </row>
    <row r="116" spans="1:7">
      <c r="A116" s="8">
        <v>41776</v>
      </c>
      <c r="B116" s="1" t="s">
        <v>112</v>
      </c>
      <c r="C116" s="1" t="s">
        <v>9</v>
      </c>
      <c r="D116" s="1" t="s">
        <v>6</v>
      </c>
      <c r="E116" s="2">
        <v>27305</v>
      </c>
      <c r="F116" s="2">
        <v>8620</v>
      </c>
      <c r="G116" s="2">
        <v>32</v>
      </c>
    </row>
    <row r="117" spans="1:7">
      <c r="A117" s="8">
        <v>42882</v>
      </c>
      <c r="B117" s="1" t="s">
        <v>113</v>
      </c>
      <c r="C117" s="1" t="s">
        <v>10</v>
      </c>
      <c r="D117" s="1" t="s">
        <v>11</v>
      </c>
      <c r="E117" s="2">
        <v>25740</v>
      </c>
      <c r="F117" s="2">
        <v>2761</v>
      </c>
      <c r="G117" s="2">
        <v>53</v>
      </c>
    </row>
    <row r="118" spans="1:7">
      <c r="A118" s="8">
        <v>42351</v>
      </c>
      <c r="B118" s="1" t="s">
        <v>114</v>
      </c>
      <c r="C118" s="1" t="s">
        <v>10</v>
      </c>
      <c r="D118" s="1" t="s">
        <v>6</v>
      </c>
      <c r="E118" s="2">
        <v>6428</v>
      </c>
      <c r="F118" s="2">
        <v>2769</v>
      </c>
      <c r="G118" s="2">
        <v>53</v>
      </c>
    </row>
    <row r="119" spans="1:7">
      <c r="A119" s="8">
        <v>42917</v>
      </c>
      <c r="B119" s="1" t="s">
        <v>115</v>
      </c>
      <c r="C119" s="1" t="s">
        <v>5</v>
      </c>
      <c r="D119" s="1" t="s">
        <v>6</v>
      </c>
      <c r="E119" s="2">
        <v>5412</v>
      </c>
      <c r="F119" s="2">
        <v>2432</v>
      </c>
      <c r="G119" s="2">
        <v>77</v>
      </c>
    </row>
    <row r="120" spans="1:7">
      <c r="A120" s="8">
        <v>42271</v>
      </c>
      <c r="B120" s="1" t="s">
        <v>116</v>
      </c>
      <c r="C120" s="1" t="s">
        <v>7</v>
      </c>
      <c r="D120" s="1" t="s">
        <v>12</v>
      </c>
      <c r="E120" s="2">
        <v>44228</v>
      </c>
      <c r="F120" s="2">
        <v>8312</v>
      </c>
      <c r="G120" s="2">
        <v>54</v>
      </c>
    </row>
    <row r="121" spans="1:7">
      <c r="A121" s="8">
        <v>42985</v>
      </c>
      <c r="B121" s="1" t="s">
        <v>117</v>
      </c>
      <c r="C121" s="1" t="s">
        <v>10</v>
      </c>
      <c r="D121" s="1" t="s">
        <v>8</v>
      </c>
      <c r="E121" s="2">
        <v>37084</v>
      </c>
      <c r="F121" s="2">
        <v>1449</v>
      </c>
      <c r="G121" s="2">
        <v>75</v>
      </c>
    </row>
    <row r="122" spans="1:7">
      <c r="A122" s="8">
        <v>43063</v>
      </c>
      <c r="B122" s="1" t="s">
        <v>118</v>
      </c>
      <c r="C122" s="1" t="s">
        <v>10</v>
      </c>
      <c r="D122" s="1" t="s">
        <v>12</v>
      </c>
      <c r="E122" s="2">
        <v>27415</v>
      </c>
      <c r="F122" s="2">
        <v>4981</v>
      </c>
      <c r="G122" s="2">
        <v>14</v>
      </c>
    </row>
    <row r="123" spans="1:7">
      <c r="A123" s="8">
        <v>42724</v>
      </c>
      <c r="B123" s="1" t="s">
        <v>119</v>
      </c>
      <c r="C123" s="1" t="s">
        <v>9</v>
      </c>
      <c r="D123" s="1" t="s">
        <v>11</v>
      </c>
      <c r="E123" s="2">
        <v>12099</v>
      </c>
      <c r="F123" s="2">
        <v>6382</v>
      </c>
      <c r="G123" s="2">
        <v>44</v>
      </c>
    </row>
    <row r="124" spans="1:7">
      <c r="A124" s="8">
        <v>42679</v>
      </c>
      <c r="B124" s="1" t="s">
        <v>119</v>
      </c>
      <c r="C124" s="1" t="s">
        <v>9</v>
      </c>
      <c r="D124" s="1" t="s">
        <v>11</v>
      </c>
      <c r="E124" s="2">
        <v>32455</v>
      </c>
      <c r="F124" s="2">
        <v>2304</v>
      </c>
      <c r="G124" s="2">
        <v>14</v>
      </c>
    </row>
    <row r="125" spans="1:7">
      <c r="A125" s="8">
        <v>41959</v>
      </c>
      <c r="B125" s="1" t="s">
        <v>120</v>
      </c>
      <c r="C125" s="1" t="s">
        <v>7</v>
      </c>
      <c r="D125" s="1" t="s">
        <v>12</v>
      </c>
      <c r="E125" s="2">
        <v>25283</v>
      </c>
      <c r="F125" s="2">
        <v>8653</v>
      </c>
      <c r="G125" s="2">
        <v>33</v>
      </c>
    </row>
    <row r="126" spans="1:7">
      <c r="A126" s="8">
        <v>42164</v>
      </c>
      <c r="B126" s="1" t="s">
        <v>121</v>
      </c>
      <c r="C126" s="1" t="s">
        <v>9</v>
      </c>
      <c r="D126" s="1" t="s">
        <v>6</v>
      </c>
      <c r="E126" s="2">
        <v>22860</v>
      </c>
      <c r="F126" s="2">
        <v>7634</v>
      </c>
      <c r="G126" s="2">
        <v>72</v>
      </c>
    </row>
    <row r="127" spans="1:7">
      <c r="A127" s="8">
        <v>42168</v>
      </c>
      <c r="B127" s="1" t="s">
        <v>122</v>
      </c>
      <c r="C127" s="1" t="s">
        <v>5</v>
      </c>
      <c r="D127" s="1" t="s">
        <v>8</v>
      </c>
      <c r="E127" s="2">
        <v>38231</v>
      </c>
      <c r="F127" s="2">
        <v>7849</v>
      </c>
      <c r="G127" s="2">
        <v>54</v>
      </c>
    </row>
    <row r="128" spans="1:7">
      <c r="A128" s="8">
        <v>42168</v>
      </c>
      <c r="B128" s="1" t="s">
        <v>123</v>
      </c>
      <c r="C128" s="1" t="s">
        <v>9</v>
      </c>
      <c r="D128" s="1" t="s">
        <v>11</v>
      </c>
      <c r="E128" s="2">
        <v>44518</v>
      </c>
      <c r="F128" s="2">
        <v>9522</v>
      </c>
      <c r="G128" s="2">
        <v>12</v>
      </c>
    </row>
    <row r="129" spans="1:7">
      <c r="A129" s="8">
        <v>42741</v>
      </c>
      <c r="B129" s="1" t="s">
        <v>124</v>
      </c>
      <c r="C129" s="1" t="s">
        <v>10</v>
      </c>
      <c r="D129" s="1" t="s">
        <v>6</v>
      </c>
      <c r="E129" s="2">
        <v>33643</v>
      </c>
      <c r="F129" s="2">
        <v>9310</v>
      </c>
      <c r="G129" s="2">
        <v>7</v>
      </c>
    </row>
    <row r="130" spans="1:7">
      <c r="A130" s="8">
        <v>43050</v>
      </c>
      <c r="B130" s="1" t="s">
        <v>54</v>
      </c>
      <c r="C130" s="1" t="s">
        <v>10</v>
      </c>
      <c r="D130" s="1" t="s">
        <v>11</v>
      </c>
      <c r="E130" s="2">
        <v>37667</v>
      </c>
      <c r="F130" s="2">
        <v>12444</v>
      </c>
      <c r="G130" s="2">
        <v>73</v>
      </c>
    </row>
    <row r="131" spans="1:7">
      <c r="A131" s="8">
        <v>41894</v>
      </c>
      <c r="B131" s="1" t="s">
        <v>125</v>
      </c>
      <c r="C131" s="1" t="s">
        <v>7</v>
      </c>
      <c r="D131" s="1" t="s">
        <v>6</v>
      </c>
      <c r="E131" s="2">
        <v>32396</v>
      </c>
      <c r="F131" s="2">
        <v>3764</v>
      </c>
      <c r="G131" s="2">
        <v>30</v>
      </c>
    </row>
    <row r="132" spans="1:7">
      <c r="A132" s="8">
        <v>42318</v>
      </c>
      <c r="B132" s="1" t="s">
        <v>126</v>
      </c>
      <c r="C132" s="1" t="s">
        <v>10</v>
      </c>
      <c r="D132" s="1" t="s">
        <v>6</v>
      </c>
      <c r="E132" s="2">
        <v>15406</v>
      </c>
      <c r="F132" s="2">
        <v>7309</v>
      </c>
      <c r="G132" s="2">
        <v>16</v>
      </c>
    </row>
    <row r="133" spans="1:7">
      <c r="A133" s="8">
        <v>41892</v>
      </c>
      <c r="B133" s="1" t="s">
        <v>127</v>
      </c>
      <c r="C133" s="1" t="s">
        <v>5</v>
      </c>
      <c r="D133" s="1" t="s">
        <v>8</v>
      </c>
      <c r="E133" s="2">
        <v>15545</v>
      </c>
      <c r="F133" s="2">
        <v>6500</v>
      </c>
      <c r="G133" s="2">
        <v>12</v>
      </c>
    </row>
    <row r="134" spans="1:7">
      <c r="A134" s="8">
        <v>41780</v>
      </c>
      <c r="B134" s="1" t="s">
        <v>128</v>
      </c>
      <c r="C134" s="1" t="s">
        <v>7</v>
      </c>
      <c r="D134" s="1" t="s">
        <v>8</v>
      </c>
      <c r="E134" s="2">
        <v>29320</v>
      </c>
      <c r="F134" s="2">
        <v>8091</v>
      </c>
      <c r="G134" s="2">
        <v>46</v>
      </c>
    </row>
    <row r="135" spans="1:7">
      <c r="A135" s="8">
        <v>41889</v>
      </c>
      <c r="B135" s="1" t="s">
        <v>128</v>
      </c>
      <c r="C135" s="1" t="s">
        <v>5</v>
      </c>
      <c r="D135" s="1" t="s">
        <v>8</v>
      </c>
      <c r="E135" s="2">
        <v>30962</v>
      </c>
      <c r="F135" s="2">
        <v>12729</v>
      </c>
      <c r="G135" s="2">
        <v>67</v>
      </c>
    </row>
    <row r="136" spans="1:7">
      <c r="A136" s="8">
        <v>41853</v>
      </c>
      <c r="B136" s="1" t="s">
        <v>105</v>
      </c>
      <c r="C136" s="1" t="s">
        <v>9</v>
      </c>
      <c r="D136" s="1" t="s">
        <v>12</v>
      </c>
      <c r="E136" s="2">
        <v>27837</v>
      </c>
      <c r="F136" s="2">
        <v>13603</v>
      </c>
      <c r="G136" s="2">
        <v>81</v>
      </c>
    </row>
    <row r="137" spans="1:7">
      <c r="A137" s="8">
        <v>42964</v>
      </c>
      <c r="B137" s="1" t="s">
        <v>101</v>
      </c>
      <c r="C137" s="1" t="s">
        <v>7</v>
      </c>
      <c r="D137" s="1" t="s">
        <v>8</v>
      </c>
      <c r="E137" s="2">
        <v>9475</v>
      </c>
      <c r="F137" s="2">
        <v>5154</v>
      </c>
      <c r="G137" s="2">
        <v>72</v>
      </c>
    </row>
    <row r="138" spans="1:7">
      <c r="A138" s="8">
        <v>42209</v>
      </c>
      <c r="B138" s="1" t="s">
        <v>129</v>
      </c>
      <c r="C138" s="1" t="s">
        <v>9</v>
      </c>
      <c r="D138" s="1" t="s">
        <v>8</v>
      </c>
      <c r="E138" s="2">
        <v>49907</v>
      </c>
      <c r="F138" s="2">
        <v>13288</v>
      </c>
      <c r="G138" s="2">
        <v>17</v>
      </c>
    </row>
    <row r="139" spans="1:7">
      <c r="A139" s="8">
        <v>42880</v>
      </c>
      <c r="B139" s="1" t="s">
        <v>106</v>
      </c>
      <c r="C139" s="1" t="s">
        <v>9</v>
      </c>
      <c r="D139" s="1" t="s">
        <v>8</v>
      </c>
      <c r="E139" s="2">
        <v>27675</v>
      </c>
      <c r="F139" s="2">
        <v>10261</v>
      </c>
      <c r="G139" s="2">
        <v>43</v>
      </c>
    </row>
    <row r="140" spans="1:7">
      <c r="A140" s="8">
        <v>41645</v>
      </c>
      <c r="B140" s="1" t="s">
        <v>130</v>
      </c>
      <c r="C140" s="1" t="s">
        <v>10</v>
      </c>
      <c r="D140" s="1" t="s">
        <v>11</v>
      </c>
      <c r="E140" s="2">
        <v>39629</v>
      </c>
      <c r="F140" s="2">
        <v>7259</v>
      </c>
      <c r="G140" s="2">
        <v>57</v>
      </c>
    </row>
    <row r="141" spans="1:7">
      <c r="A141" s="8">
        <v>43097</v>
      </c>
      <c r="B141" s="1" t="s">
        <v>130</v>
      </c>
      <c r="C141" s="1" t="s">
        <v>7</v>
      </c>
      <c r="D141" s="1" t="s">
        <v>8</v>
      </c>
      <c r="E141" s="2">
        <v>45588</v>
      </c>
      <c r="F141" s="2">
        <v>2799</v>
      </c>
      <c r="G141" s="2">
        <v>39</v>
      </c>
    </row>
    <row r="142" spans="1:7">
      <c r="A142" s="8">
        <v>42647</v>
      </c>
      <c r="B142" s="1" t="s">
        <v>131</v>
      </c>
      <c r="C142" s="1" t="s">
        <v>7</v>
      </c>
      <c r="D142" s="1" t="s">
        <v>8</v>
      </c>
      <c r="E142" s="2">
        <v>49478</v>
      </c>
      <c r="F142" s="2">
        <v>7730</v>
      </c>
      <c r="G142" s="2">
        <v>14</v>
      </c>
    </row>
    <row r="143" spans="1:7">
      <c r="A143" s="8">
        <v>42907</v>
      </c>
      <c r="B143" s="1" t="s">
        <v>131</v>
      </c>
      <c r="C143" s="1" t="s">
        <v>5</v>
      </c>
      <c r="D143" s="1" t="s">
        <v>12</v>
      </c>
      <c r="E143" s="2">
        <v>34355</v>
      </c>
      <c r="F143" s="2">
        <v>1577</v>
      </c>
      <c r="G143" s="2">
        <v>40</v>
      </c>
    </row>
    <row r="144" spans="1:7">
      <c r="A144" s="8">
        <v>42907</v>
      </c>
      <c r="B144" s="1" t="s">
        <v>132</v>
      </c>
      <c r="C144" s="1" t="s">
        <v>5</v>
      </c>
      <c r="D144" s="1" t="s">
        <v>8</v>
      </c>
      <c r="E144" s="2">
        <v>45371</v>
      </c>
      <c r="F144" s="2">
        <v>10638</v>
      </c>
      <c r="G144" s="2">
        <v>44</v>
      </c>
    </row>
    <row r="145" spans="1:7">
      <c r="A145" s="8">
        <v>42593</v>
      </c>
      <c r="B145" s="1" t="s">
        <v>133</v>
      </c>
      <c r="C145" s="1" t="s">
        <v>9</v>
      </c>
      <c r="D145" s="1" t="s">
        <v>12</v>
      </c>
      <c r="E145" s="2">
        <v>25659</v>
      </c>
      <c r="F145" s="2">
        <v>8478</v>
      </c>
      <c r="G145" s="2">
        <v>23</v>
      </c>
    </row>
    <row r="146" spans="1:7">
      <c r="A146" s="8">
        <v>42593</v>
      </c>
      <c r="B146" s="1" t="s">
        <v>134</v>
      </c>
      <c r="C146" s="1" t="s">
        <v>5</v>
      </c>
      <c r="D146" s="1" t="s">
        <v>11</v>
      </c>
      <c r="E146" s="2">
        <v>14511</v>
      </c>
      <c r="F146" s="2">
        <v>2409</v>
      </c>
      <c r="G146" s="2">
        <v>77</v>
      </c>
    </row>
    <row r="147" spans="1:7">
      <c r="A147" s="8">
        <v>42400</v>
      </c>
      <c r="B147" s="1" t="s">
        <v>134</v>
      </c>
      <c r="C147" s="1" t="s">
        <v>9</v>
      </c>
      <c r="D147" s="1" t="s">
        <v>11</v>
      </c>
      <c r="E147" s="2">
        <v>14060</v>
      </c>
      <c r="F147" s="2">
        <v>2170</v>
      </c>
      <c r="G147" s="2">
        <v>54</v>
      </c>
    </row>
    <row r="148" spans="1:7">
      <c r="A148" s="8">
        <v>42258</v>
      </c>
      <c r="B148" s="1" t="s">
        <v>16</v>
      </c>
      <c r="C148" s="1" t="s">
        <v>10</v>
      </c>
      <c r="D148" s="1" t="s">
        <v>12</v>
      </c>
      <c r="E148" s="2">
        <v>38036</v>
      </c>
      <c r="F148" s="2">
        <v>9941</v>
      </c>
      <c r="G148" s="2">
        <v>64</v>
      </c>
    </row>
    <row r="149" spans="1:7">
      <c r="A149" s="8">
        <v>42947</v>
      </c>
      <c r="B149" s="1" t="s">
        <v>107</v>
      </c>
      <c r="C149" s="1" t="s">
        <v>5</v>
      </c>
      <c r="D149" s="1" t="s">
        <v>8</v>
      </c>
      <c r="E149" s="2">
        <v>7036</v>
      </c>
      <c r="F149" s="2">
        <v>12634</v>
      </c>
      <c r="G149" s="2">
        <v>88</v>
      </c>
    </row>
    <row r="150" spans="1:7">
      <c r="A150" s="8">
        <v>42947</v>
      </c>
      <c r="B150" s="1" t="s">
        <v>135</v>
      </c>
      <c r="C150" s="1" t="s">
        <v>9</v>
      </c>
      <c r="D150" s="1" t="s">
        <v>11</v>
      </c>
      <c r="E150" s="2">
        <v>47517</v>
      </c>
      <c r="F150" s="2">
        <v>13813</v>
      </c>
      <c r="G150" s="2">
        <v>13</v>
      </c>
    </row>
    <row r="151" spans="1:7">
      <c r="A151" s="8">
        <v>42183</v>
      </c>
      <c r="B151" s="1" t="s">
        <v>136</v>
      </c>
      <c r="C151" s="1" t="s">
        <v>9</v>
      </c>
      <c r="D151" s="1" t="s">
        <v>12</v>
      </c>
      <c r="E151" s="2">
        <v>48284</v>
      </c>
      <c r="F151" s="2">
        <v>7339</v>
      </c>
      <c r="G151" s="2">
        <v>19</v>
      </c>
    </row>
    <row r="152" spans="1:7">
      <c r="A152" s="8">
        <v>42916</v>
      </c>
      <c r="B152" s="1" t="s">
        <v>137</v>
      </c>
      <c r="C152" s="1" t="s">
        <v>9</v>
      </c>
      <c r="D152" s="1" t="s">
        <v>11</v>
      </c>
      <c r="E152" s="2">
        <v>10447</v>
      </c>
      <c r="F152" s="2">
        <v>8094</v>
      </c>
      <c r="G152" s="2">
        <v>41</v>
      </c>
    </row>
    <row r="153" spans="1:7">
      <c r="A153" s="8">
        <v>41792</v>
      </c>
      <c r="B153" s="1" t="s">
        <v>138</v>
      </c>
      <c r="C153" s="1" t="s">
        <v>5</v>
      </c>
      <c r="D153" s="1" t="s">
        <v>11</v>
      </c>
      <c r="E153" s="2">
        <v>49282</v>
      </c>
      <c r="F153" s="2">
        <v>5018</v>
      </c>
      <c r="G153" s="2">
        <v>20</v>
      </c>
    </row>
    <row r="154" spans="1:7">
      <c r="A154" s="8">
        <v>42693</v>
      </c>
      <c r="B154" s="1" t="s">
        <v>139</v>
      </c>
      <c r="C154" s="1" t="s">
        <v>9</v>
      </c>
      <c r="D154" s="1" t="s">
        <v>6</v>
      </c>
      <c r="E154" s="2">
        <v>37911</v>
      </c>
      <c r="F154" s="2">
        <v>3241</v>
      </c>
      <c r="G154" s="2">
        <v>31</v>
      </c>
    </row>
    <row r="155" spans="1:7">
      <c r="A155" s="8">
        <v>43085</v>
      </c>
      <c r="B155" s="1" t="s">
        <v>140</v>
      </c>
      <c r="C155" s="1" t="s">
        <v>9</v>
      </c>
      <c r="D155" s="1" t="s">
        <v>8</v>
      </c>
      <c r="E155" s="2">
        <v>42734</v>
      </c>
      <c r="F155" s="2">
        <v>9060</v>
      </c>
      <c r="G155" s="2">
        <v>81</v>
      </c>
    </row>
    <row r="156" spans="1:7">
      <c r="A156" s="8">
        <v>41839</v>
      </c>
      <c r="B156" s="1" t="s">
        <v>140</v>
      </c>
      <c r="C156" s="1" t="s">
        <v>10</v>
      </c>
      <c r="D156" s="1" t="s">
        <v>12</v>
      </c>
      <c r="E156" s="2">
        <v>42938</v>
      </c>
      <c r="F156" s="2">
        <v>3518</v>
      </c>
      <c r="G156" s="2">
        <v>85</v>
      </c>
    </row>
    <row r="157" spans="1:7">
      <c r="A157" s="8">
        <v>42756</v>
      </c>
      <c r="B157" s="1" t="s">
        <v>140</v>
      </c>
      <c r="C157" s="1" t="s">
        <v>9</v>
      </c>
      <c r="D157" s="1" t="s">
        <v>6</v>
      </c>
      <c r="E157" s="2">
        <v>9086</v>
      </c>
      <c r="F157" s="2">
        <v>13604</v>
      </c>
      <c r="G157" s="2">
        <v>41</v>
      </c>
    </row>
    <row r="158" spans="1:7">
      <c r="A158" s="8">
        <v>42756</v>
      </c>
      <c r="B158" s="1" t="s">
        <v>141</v>
      </c>
      <c r="C158" s="1" t="s">
        <v>9</v>
      </c>
      <c r="D158" s="1" t="s">
        <v>8</v>
      </c>
      <c r="E158" s="2">
        <v>9810</v>
      </c>
      <c r="F158" s="2">
        <v>8338</v>
      </c>
      <c r="G158" s="2">
        <v>65</v>
      </c>
    </row>
    <row r="159" spans="1:7">
      <c r="A159" s="8">
        <v>42756</v>
      </c>
      <c r="B159" s="1" t="s">
        <v>142</v>
      </c>
      <c r="C159" s="1" t="s">
        <v>10</v>
      </c>
      <c r="D159" s="1" t="s">
        <v>12</v>
      </c>
      <c r="E159" s="2">
        <v>27069</v>
      </c>
      <c r="F159" s="2">
        <v>12014</v>
      </c>
      <c r="G159" s="2">
        <v>16</v>
      </c>
    </row>
    <row r="160" spans="1:7">
      <c r="A160" s="8">
        <v>42253</v>
      </c>
      <c r="B160" s="1" t="s">
        <v>143</v>
      </c>
      <c r="C160" s="1" t="s">
        <v>5</v>
      </c>
      <c r="D160" s="1" t="s">
        <v>8</v>
      </c>
      <c r="E160" s="2">
        <v>26567</v>
      </c>
      <c r="F160" s="2">
        <v>5732</v>
      </c>
      <c r="G160" s="2">
        <v>68</v>
      </c>
    </row>
    <row r="161" spans="1:7">
      <c r="A161" s="8">
        <v>42975</v>
      </c>
      <c r="B161" s="1" t="s">
        <v>144</v>
      </c>
      <c r="C161" s="1" t="s">
        <v>9</v>
      </c>
      <c r="D161" s="1" t="s">
        <v>11</v>
      </c>
      <c r="E161" s="2">
        <v>42002</v>
      </c>
      <c r="F161" s="2">
        <v>12746</v>
      </c>
      <c r="G161" s="2">
        <v>10</v>
      </c>
    </row>
    <row r="162" spans="1:7">
      <c r="A162" s="8">
        <v>42924</v>
      </c>
      <c r="B162" s="1" t="s">
        <v>79</v>
      </c>
      <c r="C162" s="1" t="s">
        <v>5</v>
      </c>
      <c r="D162" s="1" t="s">
        <v>8</v>
      </c>
      <c r="E162" s="2">
        <v>48515</v>
      </c>
      <c r="F162" s="2">
        <v>9771</v>
      </c>
      <c r="G162" s="2">
        <v>27</v>
      </c>
    </row>
    <row r="163" spans="1:7">
      <c r="A163" s="8">
        <v>42815</v>
      </c>
      <c r="B163" s="1" t="s">
        <v>134</v>
      </c>
      <c r="C163" s="1" t="s">
        <v>10</v>
      </c>
      <c r="D163" s="1" t="s">
        <v>11</v>
      </c>
      <c r="E163" s="2">
        <v>33673</v>
      </c>
      <c r="F163" s="2">
        <v>9663</v>
      </c>
      <c r="G163" s="2">
        <v>63</v>
      </c>
    </row>
    <row r="164" spans="1:7">
      <c r="A164" s="8">
        <v>42712</v>
      </c>
      <c r="B164" s="1" t="s">
        <v>126</v>
      </c>
      <c r="C164" s="1" t="s">
        <v>9</v>
      </c>
      <c r="D164" s="1" t="s">
        <v>12</v>
      </c>
      <c r="E164" s="2">
        <v>40084</v>
      </c>
      <c r="F164" s="2">
        <v>8426</v>
      </c>
      <c r="G164" s="2">
        <v>6</v>
      </c>
    </row>
    <row r="165" spans="1:7">
      <c r="A165" s="8">
        <v>41752</v>
      </c>
      <c r="B165" s="1" t="s">
        <v>145</v>
      </c>
      <c r="C165" s="1" t="s">
        <v>7</v>
      </c>
      <c r="D165" s="1" t="s">
        <v>12</v>
      </c>
      <c r="E165" s="2">
        <v>48390</v>
      </c>
      <c r="F165" s="2">
        <v>3505</v>
      </c>
      <c r="G165" s="2">
        <v>24</v>
      </c>
    </row>
    <row r="166" spans="1:7">
      <c r="A166" s="8">
        <v>42624</v>
      </c>
      <c r="B166" s="1" t="s">
        <v>130</v>
      </c>
      <c r="C166" s="1" t="s">
        <v>10</v>
      </c>
      <c r="D166" s="1" t="s">
        <v>8</v>
      </c>
      <c r="E166" s="2">
        <v>11810</v>
      </c>
      <c r="F166" s="2">
        <v>11371</v>
      </c>
      <c r="G166" s="2">
        <v>10</v>
      </c>
    </row>
    <row r="167" spans="1:7">
      <c r="A167" s="8">
        <v>42684</v>
      </c>
      <c r="B167" s="1" t="s">
        <v>146</v>
      </c>
      <c r="C167" s="1" t="s">
        <v>9</v>
      </c>
      <c r="D167" s="1" t="s">
        <v>6</v>
      </c>
      <c r="E167" s="2">
        <v>42035</v>
      </c>
      <c r="F167" s="2">
        <v>8203</v>
      </c>
      <c r="G167" s="2">
        <v>69</v>
      </c>
    </row>
    <row r="168" spans="1:7">
      <c r="A168" s="8">
        <v>42468</v>
      </c>
      <c r="B168" s="1" t="s">
        <v>147</v>
      </c>
      <c r="C168" s="1" t="s">
        <v>5</v>
      </c>
      <c r="D168" s="1" t="s">
        <v>12</v>
      </c>
      <c r="E168" s="2">
        <v>29128</v>
      </c>
      <c r="F168" s="2">
        <v>3325</v>
      </c>
      <c r="G168" s="2">
        <v>53</v>
      </c>
    </row>
    <row r="169" spans="1:7">
      <c r="A169" s="8">
        <v>43095</v>
      </c>
      <c r="B169" s="1" t="s">
        <v>148</v>
      </c>
      <c r="C169" s="1" t="s">
        <v>7</v>
      </c>
      <c r="D169" s="1" t="s">
        <v>11</v>
      </c>
      <c r="E169" s="2">
        <v>15837</v>
      </c>
      <c r="F169" s="2">
        <v>3407</v>
      </c>
      <c r="G169" s="2">
        <v>36</v>
      </c>
    </row>
    <row r="170" spans="1:7">
      <c r="A170" s="8">
        <v>42937</v>
      </c>
      <c r="B170" s="1" t="s">
        <v>149</v>
      </c>
      <c r="C170" s="1" t="s">
        <v>9</v>
      </c>
      <c r="D170" s="1" t="s">
        <v>11</v>
      </c>
      <c r="E170" s="2">
        <v>48150</v>
      </c>
      <c r="F170" s="2">
        <v>14732</v>
      </c>
      <c r="G170" s="2">
        <v>99</v>
      </c>
    </row>
    <row r="171" spans="1:7">
      <c r="A171" s="8">
        <v>43029</v>
      </c>
      <c r="B171" s="1" t="s">
        <v>129</v>
      </c>
      <c r="C171" s="1" t="s">
        <v>5</v>
      </c>
      <c r="D171" s="1" t="s">
        <v>12</v>
      </c>
      <c r="E171" s="2">
        <v>12560</v>
      </c>
      <c r="F171" s="2">
        <v>10106</v>
      </c>
      <c r="G171" s="2">
        <v>19</v>
      </c>
    </row>
    <row r="172" spans="1:7">
      <c r="A172" s="8">
        <v>41967</v>
      </c>
      <c r="B172" s="1" t="s">
        <v>150</v>
      </c>
      <c r="C172" s="1" t="s">
        <v>7</v>
      </c>
      <c r="D172" s="1" t="s">
        <v>11</v>
      </c>
      <c r="E172" s="2">
        <v>38707</v>
      </c>
      <c r="F172" s="2">
        <v>3826</v>
      </c>
      <c r="G172" s="2">
        <v>72</v>
      </c>
    </row>
    <row r="173" spans="1:7">
      <c r="A173" s="8">
        <v>42832</v>
      </c>
      <c r="B173" s="1" t="s">
        <v>134</v>
      </c>
      <c r="C173" s="1" t="s">
        <v>9</v>
      </c>
      <c r="D173" s="1" t="s">
        <v>6</v>
      </c>
      <c r="E173" s="2">
        <v>28573</v>
      </c>
      <c r="F173" s="2">
        <v>1892</v>
      </c>
      <c r="G173" s="2">
        <v>45</v>
      </c>
    </row>
    <row r="174" spans="1:7">
      <c r="A174" s="8">
        <v>43071</v>
      </c>
      <c r="B174" s="1" t="s">
        <v>145</v>
      </c>
      <c r="C174" s="1" t="s">
        <v>5</v>
      </c>
      <c r="D174" s="1" t="s">
        <v>11</v>
      </c>
      <c r="E174" s="2">
        <v>12514</v>
      </c>
      <c r="F174" s="2">
        <v>13330</v>
      </c>
      <c r="G174" s="2">
        <v>16</v>
      </c>
    </row>
    <row r="175" spans="1:7">
      <c r="A175" s="8">
        <v>42685</v>
      </c>
      <c r="B175" s="1" t="s">
        <v>90</v>
      </c>
      <c r="C175" s="1" t="s">
        <v>7</v>
      </c>
      <c r="D175" s="1" t="s">
        <v>12</v>
      </c>
      <c r="E175" s="2">
        <v>27915</v>
      </c>
      <c r="F175" s="2">
        <v>8540</v>
      </c>
      <c r="G175" s="2">
        <v>35</v>
      </c>
    </row>
    <row r="176" spans="1:7">
      <c r="A176" s="8">
        <v>43002</v>
      </c>
      <c r="B176" s="1" t="s">
        <v>90</v>
      </c>
      <c r="C176" s="1" t="s">
        <v>10</v>
      </c>
      <c r="D176" s="1" t="s">
        <v>6</v>
      </c>
      <c r="E176" s="2">
        <v>44906</v>
      </c>
      <c r="F176" s="2">
        <v>3223</v>
      </c>
      <c r="G176" s="2">
        <v>25</v>
      </c>
    </row>
    <row r="177" spans="1:7">
      <c r="A177" s="8">
        <v>42421</v>
      </c>
      <c r="B177" s="1" t="s">
        <v>105</v>
      </c>
      <c r="C177" s="1" t="s">
        <v>7</v>
      </c>
      <c r="D177" s="1" t="s">
        <v>6</v>
      </c>
      <c r="E177" s="2">
        <v>7391</v>
      </c>
      <c r="F177" s="2">
        <v>4318</v>
      </c>
      <c r="G177" s="2">
        <v>26</v>
      </c>
    </row>
    <row r="178" spans="1:7">
      <c r="A178" s="8">
        <v>42421</v>
      </c>
      <c r="B178" s="1" t="s">
        <v>25</v>
      </c>
      <c r="C178" s="1" t="s">
        <v>10</v>
      </c>
      <c r="D178" s="1" t="s">
        <v>8</v>
      </c>
      <c r="E178" s="2">
        <v>6772</v>
      </c>
      <c r="F178" s="2">
        <v>11319</v>
      </c>
      <c r="G178" s="2">
        <v>86</v>
      </c>
    </row>
    <row r="179" spans="1:7">
      <c r="A179" s="8">
        <v>42855</v>
      </c>
      <c r="B179" s="1" t="s">
        <v>151</v>
      </c>
      <c r="C179" s="1" t="s">
        <v>10</v>
      </c>
      <c r="D179" s="1" t="s">
        <v>11</v>
      </c>
      <c r="E179" s="2">
        <v>11605</v>
      </c>
      <c r="F179" s="2">
        <v>7479</v>
      </c>
      <c r="G179" s="2">
        <v>99</v>
      </c>
    </row>
    <row r="180" spans="1:7">
      <c r="A180" s="8">
        <v>42664</v>
      </c>
      <c r="B180" s="1" t="s">
        <v>152</v>
      </c>
      <c r="C180" s="1" t="s">
        <v>5</v>
      </c>
      <c r="D180" s="1" t="s">
        <v>6</v>
      </c>
      <c r="E180" s="2">
        <v>42817</v>
      </c>
      <c r="F180" s="2">
        <v>8655</v>
      </c>
      <c r="G180" s="2">
        <v>67</v>
      </c>
    </row>
    <row r="181" spans="1:7">
      <c r="A181" s="8">
        <v>43045</v>
      </c>
      <c r="B181" s="1" t="s">
        <v>153</v>
      </c>
      <c r="C181" s="1" t="s">
        <v>10</v>
      </c>
      <c r="D181" s="1" t="s">
        <v>6</v>
      </c>
      <c r="E181" s="2">
        <v>49120</v>
      </c>
      <c r="F181" s="2">
        <v>13862</v>
      </c>
      <c r="G181" s="2">
        <v>94</v>
      </c>
    </row>
    <row r="182" spans="1:7">
      <c r="A182" s="8">
        <v>42475</v>
      </c>
      <c r="B182" s="1" t="s">
        <v>119</v>
      </c>
      <c r="C182" s="1" t="s">
        <v>5</v>
      </c>
      <c r="D182" s="1" t="s">
        <v>11</v>
      </c>
      <c r="E182" s="2">
        <v>12799</v>
      </c>
      <c r="F182" s="2">
        <v>5334</v>
      </c>
      <c r="G182" s="2">
        <v>5</v>
      </c>
    </row>
    <row r="183" spans="1:7">
      <c r="A183" s="8">
        <v>42482</v>
      </c>
      <c r="B183" s="1" t="s">
        <v>133</v>
      </c>
      <c r="C183" s="1" t="s">
        <v>5</v>
      </c>
      <c r="D183" s="1" t="s">
        <v>6</v>
      </c>
      <c r="E183" s="2">
        <v>49318</v>
      </c>
      <c r="F183" s="2">
        <v>2375</v>
      </c>
      <c r="G183" s="2">
        <v>7</v>
      </c>
    </row>
    <row r="184" spans="1:7">
      <c r="A184" s="8">
        <v>42756</v>
      </c>
      <c r="B184" s="1" t="s">
        <v>133</v>
      </c>
      <c r="C184" s="1" t="s">
        <v>9</v>
      </c>
      <c r="D184" s="1" t="s">
        <v>6</v>
      </c>
      <c r="E184" s="2">
        <v>39081</v>
      </c>
      <c r="F184" s="2">
        <v>2657</v>
      </c>
      <c r="G184" s="2">
        <v>8</v>
      </c>
    </row>
    <row r="185" spans="1:7">
      <c r="A185" s="8">
        <v>42173</v>
      </c>
      <c r="B185" s="1" t="s">
        <v>154</v>
      </c>
      <c r="C185" s="1" t="s">
        <v>5</v>
      </c>
      <c r="D185" s="1" t="s">
        <v>12</v>
      </c>
      <c r="E185" s="2">
        <v>39517</v>
      </c>
      <c r="F185" s="2">
        <v>7022</v>
      </c>
      <c r="G185" s="2">
        <v>34</v>
      </c>
    </row>
    <row r="186" spans="1:7">
      <c r="A186" s="8">
        <v>42173</v>
      </c>
      <c r="B186" s="1" t="s">
        <v>155</v>
      </c>
      <c r="C186" s="1" t="s">
        <v>5</v>
      </c>
      <c r="D186" s="1" t="s">
        <v>6</v>
      </c>
      <c r="E186" s="2">
        <v>19363</v>
      </c>
      <c r="F186" s="2">
        <v>11607</v>
      </c>
      <c r="G186" s="2">
        <v>59</v>
      </c>
    </row>
    <row r="187" spans="1:7">
      <c r="A187" s="8">
        <v>43027</v>
      </c>
      <c r="B187" s="1" t="s">
        <v>155</v>
      </c>
      <c r="C187" s="1" t="s">
        <v>9</v>
      </c>
      <c r="D187" s="1" t="s">
        <v>6</v>
      </c>
      <c r="E187" s="2">
        <v>14219</v>
      </c>
      <c r="F187" s="2">
        <v>1080</v>
      </c>
      <c r="G187" s="2">
        <v>15</v>
      </c>
    </row>
    <row r="188" spans="1:7">
      <c r="A188" s="8">
        <v>42842</v>
      </c>
      <c r="B188" s="1" t="s">
        <v>155</v>
      </c>
      <c r="C188" s="1" t="s">
        <v>5</v>
      </c>
      <c r="D188" s="1" t="s">
        <v>6</v>
      </c>
      <c r="E188" s="2">
        <v>41325</v>
      </c>
      <c r="F188" s="2">
        <v>11684</v>
      </c>
      <c r="G188" s="2">
        <v>23</v>
      </c>
    </row>
    <row r="189" spans="1:7">
      <c r="A189" s="8">
        <v>42842</v>
      </c>
      <c r="B189" s="1" t="s">
        <v>110</v>
      </c>
      <c r="C189" s="1" t="s">
        <v>5</v>
      </c>
      <c r="D189" s="1" t="s">
        <v>12</v>
      </c>
      <c r="E189" s="2">
        <v>8234</v>
      </c>
      <c r="F189" s="2">
        <v>3953</v>
      </c>
      <c r="G189" s="2">
        <v>55</v>
      </c>
    </row>
    <row r="190" spans="1:7">
      <c r="A190" s="8">
        <v>42842</v>
      </c>
      <c r="B190" s="1" t="s">
        <v>156</v>
      </c>
      <c r="C190" s="1" t="s">
        <v>5</v>
      </c>
      <c r="D190" s="1" t="s">
        <v>12</v>
      </c>
      <c r="E190" s="2">
        <v>29940</v>
      </c>
      <c r="F190" s="2">
        <v>3426</v>
      </c>
      <c r="G190" s="2">
        <v>73</v>
      </c>
    </row>
    <row r="191" spans="1:7">
      <c r="A191" s="8">
        <v>43015</v>
      </c>
      <c r="B191" s="1" t="s">
        <v>120</v>
      </c>
      <c r="C191" s="1" t="s">
        <v>5</v>
      </c>
      <c r="D191" s="1" t="s">
        <v>11</v>
      </c>
      <c r="E191" s="2">
        <v>21092</v>
      </c>
      <c r="F191" s="2">
        <v>4468</v>
      </c>
      <c r="G191" s="2">
        <v>77</v>
      </c>
    </row>
    <row r="192" spans="1:7">
      <c r="A192" s="8">
        <v>42484</v>
      </c>
      <c r="B192" s="1" t="s">
        <v>136</v>
      </c>
      <c r="C192" s="1" t="s">
        <v>9</v>
      </c>
      <c r="D192" s="1" t="s">
        <v>11</v>
      </c>
      <c r="E192" s="2">
        <v>36557</v>
      </c>
      <c r="F192" s="2">
        <v>14669</v>
      </c>
      <c r="G192" s="2">
        <v>41</v>
      </c>
    </row>
    <row r="193" spans="1:7">
      <c r="A193" s="8">
        <v>41994</v>
      </c>
      <c r="B193" s="1" t="s">
        <v>157</v>
      </c>
      <c r="C193" s="1" t="s">
        <v>5</v>
      </c>
      <c r="D193" s="1" t="s">
        <v>12</v>
      </c>
      <c r="E193" s="2">
        <v>6459</v>
      </c>
      <c r="F193" s="2">
        <v>13967</v>
      </c>
      <c r="G193" s="2">
        <v>20</v>
      </c>
    </row>
    <row r="194" spans="1:7">
      <c r="A194" s="8">
        <v>42279</v>
      </c>
      <c r="B194" s="1" t="s">
        <v>158</v>
      </c>
      <c r="C194" s="1" t="s">
        <v>7</v>
      </c>
      <c r="D194" s="1" t="s">
        <v>8</v>
      </c>
      <c r="E194" s="2">
        <v>5582</v>
      </c>
      <c r="F194" s="2">
        <v>14793</v>
      </c>
      <c r="G194" s="2">
        <v>40</v>
      </c>
    </row>
    <row r="195" spans="1:7">
      <c r="A195" s="8">
        <v>42269</v>
      </c>
      <c r="B195" s="1" t="s">
        <v>158</v>
      </c>
      <c r="C195" s="1" t="s">
        <v>10</v>
      </c>
      <c r="D195" s="1" t="s">
        <v>8</v>
      </c>
      <c r="E195" s="2">
        <v>44346</v>
      </c>
      <c r="F195" s="2">
        <v>1192</v>
      </c>
      <c r="G195" s="2">
        <v>95</v>
      </c>
    </row>
    <row r="196" spans="1:7">
      <c r="A196" s="8">
        <v>42591</v>
      </c>
      <c r="B196" s="1" t="s">
        <v>159</v>
      </c>
      <c r="C196" s="1" t="s">
        <v>5</v>
      </c>
      <c r="D196" s="1" t="s">
        <v>11</v>
      </c>
      <c r="E196" s="2">
        <v>6134</v>
      </c>
      <c r="F196" s="2">
        <v>1369</v>
      </c>
      <c r="G196" s="2">
        <v>82</v>
      </c>
    </row>
    <row r="197" spans="1:7">
      <c r="A197" s="8">
        <v>42591</v>
      </c>
      <c r="B197" s="1" t="s">
        <v>160</v>
      </c>
      <c r="C197" s="1" t="s">
        <v>10</v>
      </c>
      <c r="D197" s="1" t="s">
        <v>11</v>
      </c>
      <c r="E197" s="2">
        <v>21161</v>
      </c>
      <c r="F197" s="2">
        <v>12176</v>
      </c>
      <c r="G197" s="2">
        <v>80</v>
      </c>
    </row>
    <row r="198" spans="1:7">
      <c r="A198" s="8">
        <v>42237</v>
      </c>
      <c r="B198" s="1" t="s">
        <v>118</v>
      </c>
      <c r="C198" s="1" t="s">
        <v>7</v>
      </c>
      <c r="D198" s="1" t="s">
        <v>12</v>
      </c>
      <c r="E198" s="2">
        <v>18355</v>
      </c>
      <c r="F198" s="2">
        <v>7657</v>
      </c>
      <c r="G198" s="2">
        <v>7</v>
      </c>
    </row>
    <row r="199" spans="1:7">
      <c r="A199" s="8">
        <v>42758</v>
      </c>
      <c r="B199" s="1" t="s">
        <v>121</v>
      </c>
      <c r="C199" s="1" t="s">
        <v>7</v>
      </c>
      <c r="D199" s="1" t="s">
        <v>11</v>
      </c>
      <c r="E199" s="2">
        <v>14251</v>
      </c>
      <c r="F199" s="2">
        <v>2106</v>
      </c>
      <c r="G199" s="2">
        <v>53</v>
      </c>
    </row>
    <row r="200" spans="1:7">
      <c r="A200" s="8">
        <v>41899</v>
      </c>
      <c r="B200" s="1" t="s">
        <v>152</v>
      </c>
      <c r="C200" s="1" t="s">
        <v>10</v>
      </c>
      <c r="D200" s="1" t="s">
        <v>8</v>
      </c>
      <c r="E200" s="2">
        <v>45575</v>
      </c>
      <c r="F200" s="2">
        <v>4363</v>
      </c>
      <c r="G200" s="2">
        <v>9</v>
      </c>
    </row>
    <row r="201" spans="1:7">
      <c r="A201" s="8">
        <v>42541</v>
      </c>
      <c r="B201" s="1" t="s">
        <v>161</v>
      </c>
      <c r="C201" s="1" t="s">
        <v>10</v>
      </c>
      <c r="D201" s="1" t="s">
        <v>6</v>
      </c>
      <c r="E201" s="2">
        <v>38688</v>
      </c>
      <c r="F201" s="2">
        <v>5697</v>
      </c>
      <c r="G201" s="2">
        <v>66</v>
      </c>
    </row>
  </sheetData>
  <phoneticPr fontId="2"/>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sheet </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Kernap Bhavatharani</dc:creator>
  <cp:lastModifiedBy>Kernap Bhavatharani</cp:lastModifiedBy>
  <dcterms:created xsi:type="dcterms:W3CDTF">2026-09-01T09:23:52Z</dcterms:created>
  <dcterms:modified xsi:type="dcterms:W3CDTF">2026-09-11T11:39:31Z</dcterms:modified>
</cp:coreProperties>
</file>